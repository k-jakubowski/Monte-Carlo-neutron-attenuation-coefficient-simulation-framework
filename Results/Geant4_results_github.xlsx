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tion_results" sheetId="1" r:id="rId5"/>
    <sheet state="visible" name="Hg_detectability_test" sheetId="2" r:id="rId6"/>
  </sheets>
  <definedNames/>
  <calcPr/>
</workbook>
</file>

<file path=xl/sharedStrings.xml><?xml version="1.0" encoding="utf-8"?>
<sst xmlns="http://schemas.openxmlformats.org/spreadsheetml/2006/main" count="359" uniqueCount="57">
  <si>
    <t>Wire</t>
  </si>
  <si>
    <t>EXP 2.3-2.5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</si>
  <si>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</si>
  <si>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</si>
  <si>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</si>
  <si>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</si>
  <si>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</si>
  <si>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</si>
  <si>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</si>
  <si>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</si>
  <si>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</si>
  <si>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</si>
  <si>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Calculated Sigma</t>
  </si>
  <si>
    <t>average</t>
  </si>
  <si>
    <t>x - average</t>
  </si>
  <si>
    <t>variance^2</t>
  </si>
  <si>
    <t>std dev</t>
  </si>
  <si>
    <t>Weld - bottom of the sample, 1.5 mm x 1.5 mm ROI</t>
  </si>
  <si>
    <t>EXP 1.9-2.1</t>
  </si>
  <si>
    <t>Weld - top of the sample, 1.5 mm x 1.5 mm ROI</t>
  </si>
  <si>
    <t>Gilding</t>
  </si>
  <si>
    <t>sample 1</t>
  </si>
  <si>
    <t>5.5% Pb, 10% Ag, 0.2% Fe, 69.6% Au, 14.7% Hg</t>
  </si>
  <si>
    <t>EXP 3.0-3.5</t>
  </si>
  <si>
    <t>sample 2</t>
  </si>
  <si>
    <t>5.5% Pb, 9.3% Ag, 0.3% Fe, 71.6% Au, 13.3% Hg</t>
  </si>
  <si>
    <t>sample 3</t>
  </si>
  <si>
    <t>0.1% Pb, 34.5% Ag, 0.4% Fe, 0.2% Cu, 62.0% Au, 2.8% Hg</t>
  </si>
  <si>
    <t>sample 4</t>
  </si>
  <si>
    <t>0% Pb, 44.4% Ag, 0.4% Fe, 0.4% Cu, 4.3% Au, 50.62% Hg</t>
  </si>
  <si>
    <t>sample 5</t>
  </si>
  <si>
    <t>0% Pb, 47.0% Ag, 0.5% Fe, 1.1% Cu, 2.1% Au, 49.3% Hg</t>
  </si>
  <si>
    <t>sample 6</t>
  </si>
  <si>
    <t>0% Pb, 88.2% Ag, 0.3% Fe, 4.5% Cu, 1.7% Au, 5.4% Hg</t>
  </si>
  <si>
    <t>sample 7</t>
  </si>
  <si>
    <t>0% Pb, 92.6% Ag, 0.3% Fe, 3.9% Cu, 1.5% Au, 1.6% Hg</t>
  </si>
  <si>
    <t>no patch</t>
  </si>
  <si>
    <t>sample 3 (Clow) and 4 (Chigh)</t>
  </si>
  <si>
    <t>consistent thickn, simplified geometry</t>
  </si>
  <si>
    <t>effective thickness (cm)</t>
  </si>
  <si>
    <t>gilding</t>
  </si>
  <si>
    <t>I0</t>
  </si>
  <si>
    <t>I</t>
  </si>
  <si>
    <t>u</t>
  </si>
  <si>
    <t>Exp average</t>
  </si>
  <si>
    <t>patch 1</t>
  </si>
  <si>
    <t>95% and 5%</t>
  </si>
  <si>
    <t>patch 2</t>
  </si>
  <si>
    <t>90% and 10%</t>
  </si>
  <si>
    <t>patch 3</t>
  </si>
  <si>
    <t>85% and 15%</t>
  </si>
  <si>
    <t>patch 4</t>
  </si>
  <si>
    <t>80% and 20%</t>
  </si>
  <si>
    <t>patch 5</t>
  </si>
  <si>
    <t>75% and 30%</t>
  </si>
  <si>
    <t>patch 6</t>
  </si>
  <si>
    <t>70% and 30%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</si>
</sst>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"/>
    <numFmt numFmtId="165" formatCode="#,##0.000000"/>
  </numFmts>
  <fonts count="1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1.0"/>
      <color rgb="FFA64D79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b/>
      <color theme="1"/>
      <name val="Monospace"/>
    </font>
    <font>
      <b/>
      <sz val="12.0"/>
      <color theme="1"/>
      <name val="Arial"/>
      <scheme val="minor"/>
    </font>
    <font>
      <color theme="1"/>
      <name val="Arial"/>
    </font>
    <font>
      <b/>
      <sz val="14.0"/>
      <color theme="1"/>
      <name val="Arial"/>
    </font>
    <font>
      <b/>
      <color theme="1"/>
      <name val="Arial"/>
    </font>
    <font>
      <b/>
      <sz val="12.0"/>
      <color theme="1"/>
      <name val="Arial"/>
    </font>
    <font>
      <color theme="1"/>
      <name val="Monospace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3" fontId="7" numFmtId="164" xfId="0" applyAlignment="1" applyFill="1" applyFont="1" applyNumberFormat="1">
      <alignment horizontal="right" vertical="bottom"/>
    </xf>
    <xf borderId="0" fillId="4" fontId="8" numFmtId="4" xfId="0" applyFill="1" applyFont="1" applyNumberFormat="1"/>
    <xf borderId="0" fillId="0" fontId="2" numFmtId="4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9" numFmtId="165" xfId="0" applyAlignment="1" applyFont="1" applyNumberFormat="1">
      <alignment horizontal="right" vertical="bottom"/>
    </xf>
    <xf borderId="0" fillId="0" fontId="5" numFmtId="0" xfId="0" applyFont="1"/>
    <xf borderId="0" fillId="0" fontId="9" numFmtId="0" xfId="0" applyAlignment="1" applyFont="1">
      <alignment vertical="bottom"/>
    </xf>
    <xf borderId="0" fillId="0" fontId="9" numFmtId="165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5" fontId="9" numFmtId="0" xfId="0" applyAlignment="1" applyFill="1" applyFont="1">
      <alignment vertical="bottom"/>
    </xf>
    <xf borderId="0" fillId="5" fontId="9" numFmtId="165" xfId="0" applyAlignment="1" applyFont="1" applyNumberFormat="1">
      <alignment vertical="bottom"/>
    </xf>
    <xf borderId="0" fillId="5" fontId="9" numFmtId="0" xfId="0" applyAlignment="1" applyFont="1">
      <alignment vertical="bottom"/>
    </xf>
    <xf borderId="0" fillId="5" fontId="5" numFmtId="0" xfId="0" applyFont="1"/>
    <xf borderId="0" fillId="5" fontId="2" numFmtId="0" xfId="0" applyAlignment="1" applyFont="1">
      <alignment readingOrder="0"/>
    </xf>
    <xf borderId="0" fillId="0" fontId="5" numFmtId="4" xfId="0" applyFont="1" applyNumberFormat="1"/>
    <xf borderId="0" fillId="2" fontId="5" numFmtId="0" xfId="0" applyFont="1"/>
    <xf borderId="0" fillId="5" fontId="2" numFmtId="0" xfId="0" applyFont="1"/>
    <xf borderId="0" fillId="3" fontId="7" numFmtId="165" xfId="0" applyAlignment="1" applyFont="1" applyNumberFormat="1">
      <alignment horizontal="right" vertical="bottom"/>
    </xf>
    <xf borderId="0" fillId="6" fontId="9" numFmtId="0" xfId="0" applyAlignment="1" applyFill="1" applyFont="1">
      <alignment vertical="bottom"/>
    </xf>
    <xf borderId="0" fillId="2" fontId="10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0" fillId="3" fontId="9" numFmtId="0" xfId="0" applyAlignment="1" applyFont="1">
      <alignment horizontal="right" vertical="bottom"/>
    </xf>
    <xf borderId="0" fillId="3" fontId="9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9" numFmtId="3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vertical="bottom"/>
    </xf>
    <xf borderId="0" fillId="0" fontId="6" numFmtId="4" xfId="0" applyAlignment="1" applyFont="1" applyNumberFormat="1">
      <alignment vertical="bottom"/>
    </xf>
    <xf borderId="0" fillId="3" fontId="13" numFmtId="3" xfId="0" applyAlignment="1" applyFont="1" applyNumberFormat="1">
      <alignment horizontal="right" vertical="bottom"/>
    </xf>
    <xf borderId="0" fillId="0" fontId="11" numFmtId="4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2" fontId="10" numFmtId="0" xfId="0" applyAlignment="1" applyFont="1">
      <alignment readingOrder="0" vertical="bottom"/>
    </xf>
    <xf borderId="0" fillId="3" fontId="9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12" max="12" width="17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/>
      <c r="M2" s="3"/>
      <c r="N2" s="3"/>
    </row>
    <row r="3">
      <c r="A3" s="3"/>
      <c r="L3" s="4" t="s">
        <v>1</v>
      </c>
      <c r="M3" s="5"/>
      <c r="N3" s="6"/>
    </row>
    <row r="4">
      <c r="A4" s="3"/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M4" s="5"/>
      <c r="N4" s="6"/>
    </row>
    <row r="5">
      <c r="A5" s="8" t="s">
        <v>12</v>
      </c>
      <c r="B5" s="9">
        <v>2.43397</v>
      </c>
      <c r="C5" s="9">
        <v>2.43904</v>
      </c>
      <c r="D5" s="9">
        <v>2.42874</v>
      </c>
      <c r="E5" s="9">
        <v>2.43424</v>
      </c>
      <c r="F5" s="9">
        <v>2.43688</v>
      </c>
      <c r="G5" s="9">
        <v>2.42921</v>
      </c>
      <c r="H5" s="9">
        <v>2.42556</v>
      </c>
      <c r="I5" s="9">
        <v>2.41121</v>
      </c>
      <c r="J5" s="9">
        <v>2.43576</v>
      </c>
      <c r="K5" s="9">
        <v>2.42599</v>
      </c>
      <c r="L5" s="10">
        <f>AVERAGE(B5:K5)</f>
        <v>2.43006</v>
      </c>
      <c r="M5" s="11" t="s">
        <v>13</v>
      </c>
    </row>
    <row r="6">
      <c r="A6" s="12" t="s">
        <v>14</v>
      </c>
      <c r="B6" s="13">
        <f t="shared" ref="B6:K6" si="1">(B5-$L5)^2</f>
        <v>0.0000152881</v>
      </c>
      <c r="C6" s="13">
        <f t="shared" si="1"/>
        <v>0.0000806404</v>
      </c>
      <c r="D6" s="13">
        <f t="shared" si="1"/>
        <v>0.0000017424</v>
      </c>
      <c r="E6" s="13">
        <f t="shared" si="1"/>
        <v>0.0000174724</v>
      </c>
      <c r="F6" s="13">
        <f t="shared" si="1"/>
        <v>0.0000465124</v>
      </c>
      <c r="G6" s="13">
        <f t="shared" si="1"/>
        <v>0.0000007225</v>
      </c>
      <c r="H6" s="13">
        <f t="shared" si="1"/>
        <v>0.00002025</v>
      </c>
      <c r="I6" s="13">
        <f t="shared" si="1"/>
        <v>0.0003553225</v>
      </c>
      <c r="J6" s="13">
        <f t="shared" si="1"/>
        <v>0.00003249</v>
      </c>
      <c r="K6" s="13">
        <f t="shared" si="1"/>
        <v>0.0000165649</v>
      </c>
      <c r="L6" s="14">
        <f>SUM(B6:K6)/(10-1)</f>
        <v>0.00006522284444</v>
      </c>
      <c r="M6" s="5" t="s">
        <v>15</v>
      </c>
    </row>
    <row r="7">
      <c r="L7" s="14">
        <f>SQRT(L6)</f>
        <v>0.008076066149</v>
      </c>
      <c r="M7" s="5" t="s">
        <v>16</v>
      </c>
    </row>
    <row r="8">
      <c r="A8" s="15"/>
      <c r="B8" s="16"/>
      <c r="C8" s="17"/>
      <c r="D8" s="17"/>
      <c r="E8" s="17"/>
      <c r="F8" s="17"/>
      <c r="M8" s="5"/>
    </row>
    <row r="9">
      <c r="A9" s="18"/>
      <c r="B9" s="19"/>
      <c r="C9" s="20"/>
      <c r="D9" s="20"/>
      <c r="E9" s="20"/>
      <c r="F9" s="20"/>
      <c r="G9" s="21"/>
      <c r="H9" s="21"/>
      <c r="I9" s="21"/>
      <c r="J9" s="21"/>
      <c r="K9" s="21"/>
      <c r="L9" s="21"/>
      <c r="M9" s="22"/>
      <c r="N9" s="21"/>
    </row>
    <row r="10">
      <c r="A10" s="1" t="s">
        <v>17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>
      <c r="A11" s="3"/>
      <c r="M11" s="3"/>
      <c r="N11" s="23"/>
    </row>
    <row r="12">
      <c r="A12" s="3"/>
      <c r="L12" s="4" t="s">
        <v>18</v>
      </c>
      <c r="M12" s="5"/>
    </row>
    <row r="13">
      <c r="A13" s="3"/>
      <c r="B13" s="7" t="s">
        <v>2</v>
      </c>
      <c r="C13" s="7" t="s">
        <v>3</v>
      </c>
      <c r="D13" s="7" t="s">
        <v>4</v>
      </c>
      <c r="E13" s="7" t="s">
        <v>5</v>
      </c>
      <c r="F13" s="7" t="s">
        <v>6</v>
      </c>
      <c r="G13" s="7" t="s">
        <v>7</v>
      </c>
      <c r="H13" s="7" t="s">
        <v>8</v>
      </c>
      <c r="I13" s="7" t="s">
        <v>9</v>
      </c>
      <c r="J13" s="7" t="s">
        <v>10</v>
      </c>
      <c r="K13" s="7" t="s">
        <v>11</v>
      </c>
      <c r="M13" s="5"/>
    </row>
    <row r="14">
      <c r="A14" s="8" t="s">
        <v>12</v>
      </c>
      <c r="B14" s="9">
        <v>1.89108</v>
      </c>
      <c r="C14" s="9">
        <v>1.8888</v>
      </c>
      <c r="D14" s="9">
        <v>1.8891</v>
      </c>
      <c r="E14" s="9">
        <v>1.88311</v>
      </c>
      <c r="F14" s="9">
        <v>1.87719</v>
      </c>
      <c r="G14" s="9">
        <v>1.89514</v>
      </c>
      <c r="H14" s="9">
        <v>1.89193</v>
      </c>
      <c r="I14" s="9">
        <v>1.88767</v>
      </c>
      <c r="J14" s="9">
        <v>1.8884</v>
      </c>
      <c r="K14" s="9">
        <v>1.8803</v>
      </c>
      <c r="L14" s="10">
        <f>AVERAGE(B14:K14)</f>
        <v>1.887272</v>
      </c>
      <c r="M14" s="11" t="s">
        <v>13</v>
      </c>
    </row>
    <row r="15">
      <c r="A15" s="12" t="s">
        <v>14</v>
      </c>
      <c r="B15" s="13">
        <f t="shared" ref="B15:K15" si="2">(B14-$L14)^2</f>
        <v>0.000014500864</v>
      </c>
      <c r="C15" s="13">
        <f t="shared" si="2"/>
        <v>0.000002334784</v>
      </c>
      <c r="D15" s="13">
        <f t="shared" si="2"/>
        <v>0.000003341584</v>
      </c>
      <c r="E15" s="13">
        <f t="shared" si="2"/>
        <v>0.000017322244</v>
      </c>
      <c r="F15" s="13">
        <f t="shared" si="2"/>
        <v>0.000101646724</v>
      </c>
      <c r="G15" s="13">
        <f t="shared" si="2"/>
        <v>0.000061905424</v>
      </c>
      <c r="H15" s="13">
        <f t="shared" si="2"/>
        <v>0.000021696964</v>
      </c>
      <c r="I15" s="13">
        <f t="shared" si="2"/>
        <v>0.000000158404</v>
      </c>
      <c r="J15" s="13">
        <f t="shared" si="2"/>
        <v>0.000001272384</v>
      </c>
      <c r="K15" s="13">
        <f t="shared" si="2"/>
        <v>0.000048608784</v>
      </c>
      <c r="L15" s="14">
        <f>SUM(B15:K15)/(10-1)</f>
        <v>0.00003030979556</v>
      </c>
      <c r="M15" s="5" t="s">
        <v>15</v>
      </c>
    </row>
    <row r="16">
      <c r="L16" s="14">
        <f>SQRT(L15)</f>
        <v>0.005505433276</v>
      </c>
      <c r="M16" s="5" t="s">
        <v>16</v>
      </c>
    </row>
    <row r="18">
      <c r="A18" s="1" t="s">
        <v>19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20">
      <c r="A20" s="3"/>
      <c r="L20" s="4" t="s">
        <v>18</v>
      </c>
      <c r="M20" s="5"/>
    </row>
    <row r="21">
      <c r="A21" s="3"/>
      <c r="B21" s="7" t="s">
        <v>2</v>
      </c>
      <c r="C21" s="7" t="s">
        <v>3</v>
      </c>
      <c r="D21" s="7" t="s">
        <v>4</v>
      </c>
      <c r="E21" s="7" t="s">
        <v>5</v>
      </c>
      <c r="F21" s="7" t="s">
        <v>6</v>
      </c>
      <c r="G21" s="7" t="s">
        <v>7</v>
      </c>
      <c r="H21" s="7" t="s">
        <v>8</v>
      </c>
      <c r="I21" s="7" t="s">
        <v>9</v>
      </c>
      <c r="J21" s="7" t="s">
        <v>10</v>
      </c>
      <c r="K21" s="7" t="s">
        <v>11</v>
      </c>
      <c r="M21" s="5"/>
    </row>
    <row r="22">
      <c r="A22" s="8" t="s">
        <v>12</v>
      </c>
      <c r="B22" s="9">
        <v>1.95716</v>
      </c>
      <c r="C22" s="9">
        <v>1.95069</v>
      </c>
      <c r="D22" s="9">
        <v>1.94855</v>
      </c>
      <c r="E22" s="9">
        <v>1.95785</v>
      </c>
      <c r="F22" s="9">
        <v>1.95785</v>
      </c>
      <c r="G22" s="9">
        <v>1.95284</v>
      </c>
      <c r="H22" s="9">
        <v>1.94647</v>
      </c>
      <c r="I22" s="9">
        <v>1.95413</v>
      </c>
      <c r="J22" s="9">
        <v>1.95085</v>
      </c>
      <c r="K22" s="9">
        <v>1.95435</v>
      </c>
      <c r="L22" s="10">
        <f>AVERAGE(B22:K22)</f>
        <v>1.953074</v>
      </c>
      <c r="M22" s="11" t="s">
        <v>13</v>
      </c>
    </row>
    <row r="23">
      <c r="A23" s="12" t="s">
        <v>14</v>
      </c>
      <c r="B23" s="13">
        <f t="shared" ref="B23:K23" si="3">(B22-$L22)^2</f>
        <v>0.000016695396</v>
      </c>
      <c r="C23" s="13">
        <f t="shared" si="3"/>
        <v>0.000005683456</v>
      </c>
      <c r="D23" s="13">
        <f t="shared" si="3"/>
        <v>0.000020466576</v>
      </c>
      <c r="E23" s="13">
        <f t="shared" si="3"/>
        <v>0.000022810176</v>
      </c>
      <c r="F23" s="13">
        <f t="shared" si="3"/>
        <v>0.000022810176</v>
      </c>
      <c r="G23" s="13">
        <f t="shared" si="3"/>
        <v>0.000000054756</v>
      </c>
      <c r="H23" s="13">
        <f t="shared" si="3"/>
        <v>0.000043612816</v>
      </c>
      <c r="I23" s="13">
        <f t="shared" si="3"/>
        <v>0.000001115136</v>
      </c>
      <c r="J23" s="13">
        <f t="shared" si="3"/>
        <v>0.000004946176</v>
      </c>
      <c r="K23" s="13">
        <f t="shared" si="3"/>
        <v>0.000001628176</v>
      </c>
      <c r="L23" s="14">
        <f>SUM(B23:K23)/(10-1)</f>
        <v>0.00001553587111</v>
      </c>
      <c r="M23" s="5" t="s">
        <v>15</v>
      </c>
    </row>
    <row r="24">
      <c r="L24" s="14">
        <f>SQRT(L23)</f>
        <v>0.00394155694</v>
      </c>
      <c r="M24" s="5" t="s">
        <v>16</v>
      </c>
    </row>
    <row r="25">
      <c r="A25" s="3"/>
      <c r="M25" s="3"/>
    </row>
    <row r="26">
      <c r="A26" s="25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5"/>
      <c r="N26" s="21"/>
    </row>
    <row r="27">
      <c r="A27" s="1" t="s">
        <v>20</v>
      </c>
      <c r="B27" s="1" t="s">
        <v>21</v>
      </c>
      <c r="C27" s="2"/>
      <c r="D27" s="1" t="s">
        <v>22</v>
      </c>
      <c r="E27" s="2"/>
      <c r="F27" s="2"/>
      <c r="G27" s="2"/>
      <c r="H27" s="2"/>
      <c r="I27" s="1"/>
      <c r="J27" s="2"/>
      <c r="K27" s="2"/>
      <c r="L27" s="2"/>
      <c r="M27" s="2"/>
      <c r="N27" s="2"/>
    </row>
    <row r="28">
      <c r="A28" s="3"/>
      <c r="M28" s="3"/>
    </row>
    <row r="29">
      <c r="A29" s="3"/>
      <c r="L29" s="4" t="s">
        <v>23</v>
      </c>
      <c r="M29" s="5"/>
    </row>
    <row r="30">
      <c r="A30" s="3"/>
      <c r="B30" s="7" t="s">
        <v>2</v>
      </c>
      <c r="C30" s="7" t="s">
        <v>3</v>
      </c>
      <c r="D30" s="7" t="s">
        <v>4</v>
      </c>
      <c r="E30" s="7" t="s">
        <v>5</v>
      </c>
      <c r="F30" s="7" t="s">
        <v>6</v>
      </c>
      <c r="G30" s="7" t="s">
        <v>7</v>
      </c>
      <c r="H30" s="7" t="s">
        <v>8</v>
      </c>
      <c r="I30" s="7" t="s">
        <v>9</v>
      </c>
      <c r="J30" s="7" t="s">
        <v>10</v>
      </c>
      <c r="K30" s="7" t="s">
        <v>11</v>
      </c>
      <c r="M30" s="5"/>
    </row>
    <row r="31">
      <c r="A31" s="8" t="s">
        <v>12</v>
      </c>
      <c r="B31" s="9">
        <v>4.4111</v>
      </c>
      <c r="C31" s="9">
        <v>4.432</v>
      </c>
      <c r="D31" s="9">
        <v>4.42545</v>
      </c>
      <c r="E31" s="9">
        <v>4.43795</v>
      </c>
      <c r="F31" s="9">
        <v>4.44991</v>
      </c>
      <c r="G31" s="9">
        <v>4.43413</v>
      </c>
      <c r="H31" s="9">
        <v>4.44152</v>
      </c>
      <c r="I31" s="9">
        <v>4.4181</v>
      </c>
      <c r="J31" s="9">
        <v>4.45653</v>
      </c>
      <c r="K31" s="9">
        <v>4.42615</v>
      </c>
      <c r="L31" s="10">
        <f>AVERAGE(B31:K31)</f>
        <v>4.433284</v>
      </c>
      <c r="M31" s="11" t="s">
        <v>13</v>
      </c>
    </row>
    <row r="32">
      <c r="A32" s="12" t="s">
        <v>14</v>
      </c>
      <c r="B32" s="13">
        <f t="shared" ref="B32:K32" si="4">(B31-$L31)^2</f>
        <v>0.000492129856</v>
      </c>
      <c r="C32" s="13">
        <f t="shared" si="4"/>
        <v>0.000001648656</v>
      </c>
      <c r="D32" s="13">
        <f t="shared" si="4"/>
        <v>0.000061371556</v>
      </c>
      <c r="E32" s="13">
        <f t="shared" si="4"/>
        <v>0.000021771556</v>
      </c>
      <c r="F32" s="13">
        <f t="shared" si="4"/>
        <v>0.000276423876</v>
      </c>
      <c r="G32" s="13">
        <f t="shared" si="4"/>
        <v>0.000000715716</v>
      </c>
      <c r="H32" s="13">
        <f t="shared" si="4"/>
        <v>0.000067831696</v>
      </c>
      <c r="I32" s="13">
        <f t="shared" si="4"/>
        <v>0.000230553856</v>
      </c>
      <c r="J32" s="13">
        <f t="shared" si="4"/>
        <v>0.000540376516</v>
      </c>
      <c r="K32" s="13">
        <f t="shared" si="4"/>
        <v>0.000050893956</v>
      </c>
      <c r="L32" s="14">
        <f>SUM(B32:K32)/(10-1)</f>
        <v>0.00019374636</v>
      </c>
      <c r="M32" s="5" t="s">
        <v>15</v>
      </c>
    </row>
    <row r="33">
      <c r="L33" s="14">
        <f>SQRT(L32)</f>
        <v>0.01391928015</v>
      </c>
      <c r="M33" s="5" t="s">
        <v>16</v>
      </c>
    </row>
    <row r="34">
      <c r="A34" s="3"/>
      <c r="M34" s="3"/>
    </row>
    <row r="35">
      <c r="A35" s="1" t="s">
        <v>20</v>
      </c>
      <c r="B35" s="1" t="s">
        <v>24</v>
      </c>
      <c r="C35" s="2"/>
      <c r="D35" s="1" t="s">
        <v>25</v>
      </c>
      <c r="E35" s="2"/>
      <c r="F35" s="2"/>
      <c r="G35" s="2"/>
      <c r="H35" s="2"/>
      <c r="I35" s="2"/>
      <c r="J35" s="2"/>
      <c r="K35" s="2"/>
      <c r="L35" s="2"/>
      <c r="M35" s="2"/>
      <c r="N35" s="2"/>
    </row>
    <row r="36">
      <c r="A36" s="3"/>
      <c r="M36" s="3"/>
    </row>
    <row r="37">
      <c r="A37" s="3"/>
      <c r="L37" s="4" t="s">
        <v>23</v>
      </c>
      <c r="M37" s="5"/>
    </row>
    <row r="38">
      <c r="A38" s="3"/>
      <c r="B38" s="7" t="s">
        <v>2</v>
      </c>
      <c r="C38" s="7" t="s">
        <v>3</v>
      </c>
      <c r="D38" s="7" t="s">
        <v>4</v>
      </c>
      <c r="E38" s="7" t="s">
        <v>5</v>
      </c>
      <c r="F38" s="7" t="s">
        <v>6</v>
      </c>
      <c r="G38" s="7" t="s">
        <v>7</v>
      </c>
      <c r="H38" s="7" t="s">
        <v>8</v>
      </c>
      <c r="I38" s="7" t="s">
        <v>9</v>
      </c>
      <c r="J38" s="7" t="s">
        <v>10</v>
      </c>
      <c r="K38" s="7" t="s">
        <v>11</v>
      </c>
      <c r="M38" s="5"/>
    </row>
    <row r="39">
      <c r="A39" s="8" t="s">
        <v>12</v>
      </c>
      <c r="B39" s="9">
        <v>4.367</v>
      </c>
      <c r="C39" s="9">
        <v>4.35691</v>
      </c>
      <c r="D39" s="9">
        <v>4.37111</v>
      </c>
      <c r="E39" s="9">
        <v>4.3434</v>
      </c>
      <c r="F39" s="9">
        <v>4.38103</v>
      </c>
      <c r="G39" s="9">
        <v>4.33651</v>
      </c>
      <c r="H39" s="9">
        <v>4.38917</v>
      </c>
      <c r="I39" s="9">
        <v>4.33634</v>
      </c>
      <c r="J39" s="9">
        <v>4.35887</v>
      </c>
      <c r="K39" s="9">
        <v>4.35509</v>
      </c>
      <c r="L39" s="10">
        <f>AVERAGE(B39:K39)</f>
        <v>4.359543</v>
      </c>
      <c r="M39" s="11" t="s">
        <v>13</v>
      </c>
    </row>
    <row r="40">
      <c r="A40" s="12" t="s">
        <v>14</v>
      </c>
      <c r="B40" s="13">
        <f t="shared" ref="B40:K40" si="5">(B39-$L39)^2</f>
        <v>0.000055606849</v>
      </c>
      <c r="C40" s="13">
        <f t="shared" si="5"/>
        <v>0.000006932689</v>
      </c>
      <c r="D40" s="13">
        <f t="shared" si="5"/>
        <v>0.000133795489</v>
      </c>
      <c r="E40" s="13">
        <f t="shared" si="5"/>
        <v>0.000260596449</v>
      </c>
      <c r="F40" s="13">
        <f t="shared" si="5"/>
        <v>0.000461691169</v>
      </c>
      <c r="G40" s="13">
        <f t="shared" si="5"/>
        <v>0.000530519089</v>
      </c>
      <c r="H40" s="13">
        <f t="shared" si="5"/>
        <v>0.000877759129</v>
      </c>
      <c r="I40" s="13">
        <f t="shared" si="5"/>
        <v>0.000538379209</v>
      </c>
      <c r="J40" s="13">
        <f t="shared" si="5"/>
        <v>0.000000452929</v>
      </c>
      <c r="K40" s="13">
        <f t="shared" si="5"/>
        <v>0.000019829209</v>
      </c>
      <c r="L40" s="14">
        <f>SUM(B40:K40)/(10-1)</f>
        <v>0.0003206180233</v>
      </c>
      <c r="M40" s="5" t="s">
        <v>15</v>
      </c>
    </row>
    <row r="41">
      <c r="L41" s="14">
        <f>SQRT(L40)</f>
        <v>0.01790580976</v>
      </c>
      <c r="M41" s="5" t="s">
        <v>16</v>
      </c>
    </row>
    <row r="42">
      <c r="A42" s="3"/>
      <c r="M42" s="3"/>
    </row>
    <row r="43">
      <c r="A43" s="1" t="s">
        <v>20</v>
      </c>
      <c r="B43" s="1" t="s">
        <v>26</v>
      </c>
      <c r="C43" s="2"/>
      <c r="D43" s="1" t="s">
        <v>27</v>
      </c>
      <c r="E43" s="2"/>
      <c r="F43" s="2"/>
      <c r="G43" s="2"/>
      <c r="H43" s="2"/>
      <c r="I43" s="2"/>
      <c r="J43" s="2"/>
      <c r="K43" s="2"/>
      <c r="L43" s="2"/>
      <c r="M43" s="2"/>
      <c r="N43" s="2"/>
    </row>
    <row r="44">
      <c r="A44" s="3"/>
      <c r="M44" s="3"/>
    </row>
    <row r="45">
      <c r="A45" s="3"/>
      <c r="L45" s="4" t="s">
        <v>23</v>
      </c>
      <c r="M45" s="5"/>
    </row>
    <row r="46">
      <c r="A46" s="3"/>
      <c r="B46" s="7" t="s">
        <v>2</v>
      </c>
      <c r="C46" s="7" t="s">
        <v>3</v>
      </c>
      <c r="D46" s="7" t="s">
        <v>4</v>
      </c>
      <c r="E46" s="7" t="s">
        <v>5</v>
      </c>
      <c r="F46" s="7" t="s">
        <v>6</v>
      </c>
      <c r="G46" s="7" t="s">
        <v>7</v>
      </c>
      <c r="H46" s="7" t="s">
        <v>8</v>
      </c>
      <c r="I46" s="7" t="s">
        <v>9</v>
      </c>
      <c r="J46" s="7" t="s">
        <v>10</v>
      </c>
      <c r="K46" s="7" t="s">
        <v>11</v>
      </c>
      <c r="M46" s="5"/>
    </row>
    <row r="47">
      <c r="A47" s="8" t="s">
        <v>12</v>
      </c>
      <c r="B47" s="9">
        <v>3.55149</v>
      </c>
      <c r="C47" s="9">
        <v>3.55545</v>
      </c>
      <c r="D47" s="9">
        <v>3.55002</v>
      </c>
      <c r="E47" s="9">
        <v>3.52581</v>
      </c>
      <c r="F47" s="9">
        <v>3.55803</v>
      </c>
      <c r="G47" s="9">
        <v>3.50274</v>
      </c>
      <c r="H47" s="9">
        <v>3.56544</v>
      </c>
      <c r="I47" s="9">
        <v>3.52934</v>
      </c>
      <c r="J47" s="9">
        <v>3.50412</v>
      </c>
      <c r="K47" s="9">
        <v>3.55457</v>
      </c>
      <c r="L47" s="10">
        <f>AVERAGE(B47:K47)</f>
        <v>3.539701</v>
      </c>
      <c r="M47" s="11" t="s">
        <v>13</v>
      </c>
    </row>
    <row r="48">
      <c r="A48" s="12" t="s">
        <v>14</v>
      </c>
      <c r="B48" s="13">
        <f t="shared" ref="B48:K48" si="6">(B47-$L47)^2</f>
        <v>0.000138980521</v>
      </c>
      <c r="C48" s="13">
        <f t="shared" si="6"/>
        <v>0.000248031001</v>
      </c>
      <c r="D48" s="13">
        <f t="shared" si="6"/>
        <v>0.000106481761</v>
      </c>
      <c r="E48" s="13">
        <f t="shared" si="6"/>
        <v>0.000192959881</v>
      </c>
      <c r="F48" s="13">
        <f t="shared" si="6"/>
        <v>0.000335952241</v>
      </c>
      <c r="G48" s="13">
        <f t="shared" si="6"/>
        <v>0.001366115521</v>
      </c>
      <c r="H48" s="13">
        <f t="shared" si="6"/>
        <v>0.000662496121</v>
      </c>
      <c r="I48" s="13">
        <f t="shared" si="6"/>
        <v>0.000107350321</v>
      </c>
      <c r="J48" s="13">
        <f t="shared" si="6"/>
        <v>0.001266007561</v>
      </c>
      <c r="K48" s="13">
        <f t="shared" si="6"/>
        <v>0.000221087161</v>
      </c>
      <c r="L48" s="14">
        <f>SUM(B48:K48)/(10-1)</f>
        <v>0.0005161624544</v>
      </c>
      <c r="M48" s="5" t="s">
        <v>15</v>
      </c>
    </row>
    <row r="49">
      <c r="L49" s="14">
        <f>SQRT(L48)</f>
        <v>0.02271920893</v>
      </c>
      <c r="M49" s="5" t="s">
        <v>16</v>
      </c>
    </row>
    <row r="50">
      <c r="A50" s="3"/>
      <c r="M50" s="3"/>
    </row>
    <row r="51">
      <c r="A51" s="1" t="s">
        <v>20</v>
      </c>
      <c r="B51" s="1" t="s">
        <v>28</v>
      </c>
      <c r="C51" s="2"/>
      <c r="D51" s="1" t="s">
        <v>29</v>
      </c>
      <c r="E51" s="2"/>
      <c r="F51" s="2"/>
      <c r="G51" s="2"/>
      <c r="H51" s="2"/>
      <c r="I51" s="2"/>
      <c r="J51" s="2"/>
      <c r="K51" s="2"/>
      <c r="L51" s="2"/>
      <c r="M51" s="2"/>
      <c r="N51" s="2"/>
    </row>
    <row r="52">
      <c r="A52" s="3"/>
      <c r="M52" s="3"/>
    </row>
    <row r="53">
      <c r="A53" s="3"/>
      <c r="L53" s="4" t="s">
        <v>23</v>
      </c>
      <c r="M53" s="5"/>
    </row>
    <row r="54">
      <c r="A54" s="3"/>
      <c r="B54" s="7" t="s">
        <v>2</v>
      </c>
      <c r="C54" s="7" t="s">
        <v>3</v>
      </c>
      <c r="D54" s="7" t="s">
        <v>4</v>
      </c>
      <c r="E54" s="7" t="s">
        <v>5</v>
      </c>
      <c r="F54" s="7" t="s">
        <v>6</v>
      </c>
      <c r="G54" s="7" t="s">
        <v>7</v>
      </c>
      <c r="H54" s="7" t="s">
        <v>8</v>
      </c>
      <c r="I54" s="7" t="s">
        <v>9</v>
      </c>
      <c r="J54" s="7" t="s">
        <v>10</v>
      </c>
      <c r="K54" s="7" t="s">
        <v>11</v>
      </c>
      <c r="M54" s="5"/>
    </row>
    <row r="55">
      <c r="A55" s="8" t="s">
        <v>12</v>
      </c>
      <c r="B55" s="9">
        <v>5.45087</v>
      </c>
      <c r="C55" s="9">
        <v>5.44566</v>
      </c>
      <c r="D55" s="9">
        <v>5.47382</v>
      </c>
      <c r="E55" s="9">
        <v>5.43655</v>
      </c>
      <c r="F55" s="9">
        <v>5.50016</v>
      </c>
      <c r="G55" s="9">
        <v>5.45871</v>
      </c>
      <c r="H55" s="9">
        <v>5.46337</v>
      </c>
      <c r="I55" s="9">
        <v>5.44528</v>
      </c>
      <c r="J55" s="9">
        <v>5.4773</v>
      </c>
      <c r="K55" s="9">
        <v>5.42986</v>
      </c>
      <c r="L55" s="10">
        <f>AVERAGE(B55:K55)</f>
        <v>5.458158</v>
      </c>
      <c r="M55" s="11" t="s">
        <v>13</v>
      </c>
    </row>
    <row r="56">
      <c r="A56" s="12" t="s">
        <v>14</v>
      </c>
      <c r="B56" s="13">
        <f t="shared" ref="B56:K56" si="7">(B55-$L55)^2</f>
        <v>0.000053114944</v>
      </c>
      <c r="C56" s="13">
        <f t="shared" si="7"/>
        <v>0.000156200004</v>
      </c>
      <c r="D56" s="13">
        <f t="shared" si="7"/>
        <v>0.000245298244</v>
      </c>
      <c r="E56" s="13">
        <f t="shared" si="7"/>
        <v>0.000466905664</v>
      </c>
      <c r="F56" s="13">
        <f t="shared" si="7"/>
        <v>0.001764168004</v>
      </c>
      <c r="G56" s="13">
        <f t="shared" si="7"/>
        <v>0.000000304704</v>
      </c>
      <c r="H56" s="13">
        <f t="shared" si="7"/>
        <v>0.000027164944</v>
      </c>
      <c r="I56" s="13">
        <f t="shared" si="7"/>
        <v>0.000165842884</v>
      </c>
      <c r="J56" s="13">
        <f t="shared" si="7"/>
        <v>0.000366416164</v>
      </c>
      <c r="K56" s="13">
        <f t="shared" si="7"/>
        <v>0.000800776804</v>
      </c>
      <c r="L56" s="14">
        <f>SUM(B56:K56)/(10-1)</f>
        <v>0.0004495769289</v>
      </c>
      <c r="M56" s="5" t="s">
        <v>15</v>
      </c>
    </row>
    <row r="57">
      <c r="L57" s="14">
        <f>SQRT(L56)</f>
        <v>0.02120322921</v>
      </c>
      <c r="M57" s="5" t="s">
        <v>16</v>
      </c>
    </row>
    <row r="58">
      <c r="A58" s="3"/>
      <c r="M58" s="3"/>
    </row>
    <row r="59">
      <c r="A59" s="1" t="s">
        <v>20</v>
      </c>
      <c r="B59" s="1" t="s">
        <v>30</v>
      </c>
      <c r="C59" s="2"/>
      <c r="D59" s="1" t="s">
        <v>31</v>
      </c>
      <c r="E59" s="2"/>
      <c r="F59" s="2"/>
      <c r="G59" s="2"/>
      <c r="H59" s="2"/>
      <c r="I59" s="2"/>
      <c r="J59" s="2"/>
      <c r="K59" s="2"/>
      <c r="L59" s="2"/>
      <c r="M59" s="2"/>
      <c r="N59" s="2"/>
    </row>
    <row r="60">
      <c r="A60" s="3"/>
      <c r="M60" s="3"/>
    </row>
    <row r="61">
      <c r="A61" s="3"/>
      <c r="L61" s="4" t="s">
        <v>23</v>
      </c>
      <c r="M61" s="5"/>
    </row>
    <row r="62">
      <c r="A62" s="3"/>
      <c r="B62" s="7" t="s">
        <v>2</v>
      </c>
      <c r="C62" s="7" t="s">
        <v>3</v>
      </c>
      <c r="D62" s="7" t="s">
        <v>4</v>
      </c>
      <c r="E62" s="7" t="s">
        <v>5</v>
      </c>
      <c r="F62" s="7" t="s">
        <v>6</v>
      </c>
      <c r="G62" s="7" t="s">
        <v>7</v>
      </c>
      <c r="H62" s="7" t="s">
        <v>8</v>
      </c>
      <c r="I62" s="7" t="s">
        <v>9</v>
      </c>
      <c r="J62" s="7" t="s">
        <v>10</v>
      </c>
      <c r="K62" s="7" t="s">
        <v>11</v>
      </c>
      <c r="M62" s="5"/>
    </row>
    <row r="63">
      <c r="A63" s="8" t="s">
        <v>12</v>
      </c>
      <c r="B63" s="9">
        <v>5.36956</v>
      </c>
      <c r="C63" s="9">
        <v>5.29137</v>
      </c>
      <c r="D63" s="9">
        <v>5.26324</v>
      </c>
      <c r="E63" s="9">
        <v>5.32358</v>
      </c>
      <c r="F63" s="9">
        <v>5.32228</v>
      </c>
      <c r="G63" s="9">
        <v>5.31173</v>
      </c>
      <c r="H63" s="9">
        <v>5.30313</v>
      </c>
      <c r="I63" s="9">
        <v>5.31525</v>
      </c>
      <c r="J63" s="9">
        <v>5.28591</v>
      </c>
      <c r="K63" s="9">
        <v>5.32187</v>
      </c>
      <c r="L63" s="10">
        <f>AVERAGE(B63:K63)</f>
        <v>5.310792</v>
      </c>
      <c r="M63" s="11" t="s">
        <v>13</v>
      </c>
    </row>
    <row r="64">
      <c r="A64" s="12" t="s">
        <v>14</v>
      </c>
      <c r="B64" s="13">
        <f t="shared" ref="B64:K64" si="8">(B63-$L63)^2</f>
        <v>0.003453677824</v>
      </c>
      <c r="C64" s="13">
        <f t="shared" si="8"/>
        <v>0.000377214084</v>
      </c>
      <c r="D64" s="13">
        <f t="shared" si="8"/>
        <v>0.002261192704</v>
      </c>
      <c r="E64" s="13">
        <f t="shared" si="8"/>
        <v>0.000163532944</v>
      </c>
      <c r="F64" s="13">
        <f t="shared" si="8"/>
        <v>0.000131974144</v>
      </c>
      <c r="G64" s="13">
        <f t="shared" si="8"/>
        <v>0.000000879844</v>
      </c>
      <c r="H64" s="13">
        <f t="shared" si="8"/>
        <v>0.000058706244</v>
      </c>
      <c r="I64" s="13">
        <f t="shared" si="8"/>
        <v>0.000019873764</v>
      </c>
      <c r="J64" s="13">
        <f t="shared" si="8"/>
        <v>0.000619113924</v>
      </c>
      <c r="K64" s="13">
        <f t="shared" si="8"/>
        <v>0.000122722084</v>
      </c>
      <c r="L64" s="14">
        <f>SUM(B64:K64)/(10-1)</f>
        <v>0.0008009875067</v>
      </c>
      <c r="M64" s="5" t="s">
        <v>15</v>
      </c>
    </row>
    <row r="65">
      <c r="L65" s="14">
        <f>SQRT(L64)</f>
        <v>0.02830172268</v>
      </c>
      <c r="M65" s="5" t="s">
        <v>16</v>
      </c>
    </row>
    <row r="66">
      <c r="A66" s="3"/>
      <c r="M66" s="3"/>
    </row>
    <row r="67">
      <c r="A67" s="1" t="s">
        <v>20</v>
      </c>
      <c r="B67" s="1" t="s">
        <v>32</v>
      </c>
      <c r="C67" s="2"/>
      <c r="D67" s="1" t="s">
        <v>33</v>
      </c>
      <c r="E67" s="2"/>
      <c r="F67" s="2"/>
      <c r="G67" s="2"/>
      <c r="H67" s="2"/>
      <c r="I67" s="2"/>
      <c r="J67" s="2"/>
      <c r="K67" s="2"/>
      <c r="L67" s="2"/>
      <c r="M67" s="2"/>
      <c r="N67" s="2"/>
    </row>
    <row r="68">
      <c r="A68" s="3"/>
      <c r="M68" s="3"/>
    </row>
    <row r="69">
      <c r="A69" s="3"/>
      <c r="L69" s="4" t="s">
        <v>23</v>
      </c>
      <c r="M69" s="5"/>
    </row>
    <row r="70">
      <c r="A70" s="3"/>
      <c r="B70" s="7" t="s">
        <v>2</v>
      </c>
      <c r="C70" s="7" t="s">
        <v>3</v>
      </c>
      <c r="D70" s="7" t="s">
        <v>4</v>
      </c>
      <c r="E70" s="7" t="s">
        <v>5</v>
      </c>
      <c r="F70" s="7" t="s">
        <v>6</v>
      </c>
      <c r="G70" s="7" t="s">
        <v>7</v>
      </c>
      <c r="H70" s="7" t="s">
        <v>8</v>
      </c>
      <c r="I70" s="7" t="s">
        <v>9</v>
      </c>
      <c r="J70" s="7" t="s">
        <v>10</v>
      </c>
      <c r="K70" s="7" t="s">
        <v>11</v>
      </c>
      <c r="M70" s="5"/>
    </row>
    <row r="71">
      <c r="A71" s="8" t="s">
        <v>12</v>
      </c>
      <c r="B71" s="9">
        <v>2.79477</v>
      </c>
      <c r="C71" s="9">
        <v>2.75983</v>
      </c>
      <c r="D71" s="9">
        <v>2.77059</v>
      </c>
      <c r="E71" s="9">
        <v>2.76697</v>
      </c>
      <c r="F71" s="9">
        <v>2.76925</v>
      </c>
      <c r="G71" s="9">
        <v>2.79015</v>
      </c>
      <c r="H71" s="9">
        <v>2.78625</v>
      </c>
      <c r="I71" s="9">
        <v>2.78545</v>
      </c>
      <c r="J71" s="9">
        <v>2.78393</v>
      </c>
      <c r="K71" s="9">
        <v>2.76351</v>
      </c>
      <c r="L71" s="10">
        <f>AVERAGE(B71:K71)</f>
        <v>2.77707</v>
      </c>
      <c r="M71" s="11" t="s">
        <v>13</v>
      </c>
    </row>
    <row r="72">
      <c r="A72" s="12" t="s">
        <v>14</v>
      </c>
      <c r="B72" s="13">
        <f t="shared" ref="B72:K72" si="9">(B71-$L71)^2</f>
        <v>0.00031329</v>
      </c>
      <c r="C72" s="13">
        <f t="shared" si="9"/>
        <v>0.0002972176</v>
      </c>
      <c r="D72" s="13">
        <f t="shared" si="9"/>
        <v>0.0000419904</v>
      </c>
      <c r="E72" s="13">
        <f t="shared" si="9"/>
        <v>0.00010201</v>
      </c>
      <c r="F72" s="13">
        <f t="shared" si="9"/>
        <v>0.0000611524</v>
      </c>
      <c r="G72" s="13">
        <f t="shared" si="9"/>
        <v>0.0001710864</v>
      </c>
      <c r="H72" s="13">
        <f t="shared" si="9"/>
        <v>0.0000842724</v>
      </c>
      <c r="I72" s="13">
        <f t="shared" si="9"/>
        <v>0.0000702244</v>
      </c>
      <c r="J72" s="13">
        <f t="shared" si="9"/>
        <v>0.0000470596</v>
      </c>
      <c r="K72" s="13">
        <f t="shared" si="9"/>
        <v>0.0001838736</v>
      </c>
      <c r="L72" s="14">
        <f>SUM(B72:K72)/(10-1)</f>
        <v>0.0001524640889</v>
      </c>
      <c r="M72" s="5" t="s">
        <v>15</v>
      </c>
    </row>
    <row r="73">
      <c r="L73" s="14">
        <f>SQRT(L72)</f>
        <v>0.01234763495</v>
      </c>
      <c r="M73" s="5" t="s">
        <v>16</v>
      </c>
    </row>
    <row r="74">
      <c r="A74" s="3"/>
      <c r="M74" s="3"/>
    </row>
    <row r="75">
      <c r="A75" s="1" t="s">
        <v>20</v>
      </c>
      <c r="B75" s="1" t="s">
        <v>34</v>
      </c>
      <c r="C75" s="2"/>
      <c r="D75" s="1" t="s">
        <v>35</v>
      </c>
      <c r="E75" s="2"/>
      <c r="F75" s="2"/>
      <c r="G75" s="2"/>
      <c r="H75" s="2"/>
      <c r="I75" s="2"/>
      <c r="J75" s="2"/>
      <c r="K75" s="2"/>
      <c r="L75" s="2"/>
      <c r="M75" s="2"/>
      <c r="N75" s="2"/>
    </row>
    <row r="76">
      <c r="A76" s="3"/>
      <c r="M76" s="3"/>
    </row>
    <row r="77">
      <c r="A77" s="3"/>
      <c r="L77" s="4" t="s">
        <v>23</v>
      </c>
      <c r="M77" s="5"/>
    </row>
    <row r="78">
      <c r="A78" s="3"/>
      <c r="B78" s="7" t="s">
        <v>2</v>
      </c>
      <c r="C78" s="7" t="s">
        <v>3</v>
      </c>
      <c r="D78" s="7" t="s">
        <v>4</v>
      </c>
      <c r="E78" s="7" t="s">
        <v>5</v>
      </c>
      <c r="F78" s="7" t="s">
        <v>6</v>
      </c>
      <c r="G78" s="7" t="s">
        <v>7</v>
      </c>
      <c r="H78" s="7" t="s">
        <v>8</v>
      </c>
      <c r="I78" s="7" t="s">
        <v>9</v>
      </c>
      <c r="J78" s="7" t="s">
        <v>10</v>
      </c>
      <c r="K78" s="7" t="s">
        <v>11</v>
      </c>
      <c r="M78" s="5"/>
    </row>
    <row r="79">
      <c r="A79" s="8" t="s">
        <v>12</v>
      </c>
      <c r="B79" s="26">
        <v>2.60538</v>
      </c>
      <c r="C79" s="9">
        <v>2.59067</v>
      </c>
      <c r="D79" s="9">
        <v>2.61097</v>
      </c>
      <c r="E79" s="9">
        <v>2.61625</v>
      </c>
      <c r="F79" s="9">
        <v>2.62132</v>
      </c>
      <c r="G79" s="9">
        <v>2.61532</v>
      </c>
      <c r="H79" s="9">
        <v>2.59838</v>
      </c>
      <c r="I79" s="9">
        <v>2.5905</v>
      </c>
      <c r="J79" s="9">
        <v>2.60677</v>
      </c>
      <c r="K79" s="9">
        <v>2.59837</v>
      </c>
      <c r="L79" s="10">
        <f>AVERAGE(B79:K79)</f>
        <v>2.605393</v>
      </c>
      <c r="M79" s="11" t="s">
        <v>13</v>
      </c>
    </row>
    <row r="80">
      <c r="A80" s="12" t="s">
        <v>14</v>
      </c>
      <c r="B80" s="13">
        <f t="shared" ref="B80:K80" si="10">(B79-$L79)^2</f>
        <v>0.000000000169</v>
      </c>
      <c r="C80" s="13">
        <f t="shared" si="10"/>
        <v>0.000216766729</v>
      </c>
      <c r="D80" s="13">
        <f t="shared" si="10"/>
        <v>0.000031102929</v>
      </c>
      <c r="E80" s="13">
        <f t="shared" si="10"/>
        <v>0.000117874449</v>
      </c>
      <c r="F80" s="13">
        <f t="shared" si="10"/>
        <v>0.000253669329</v>
      </c>
      <c r="G80" s="13">
        <f t="shared" si="10"/>
        <v>0.000098545329</v>
      </c>
      <c r="H80" s="13">
        <f t="shared" si="10"/>
        <v>0.000049182169</v>
      </c>
      <c r="I80" s="13">
        <f t="shared" si="10"/>
        <v>0.000221801449</v>
      </c>
      <c r="J80" s="13">
        <f t="shared" si="10"/>
        <v>0.000001896129</v>
      </c>
      <c r="K80" s="13">
        <f t="shared" si="10"/>
        <v>0.000049322529</v>
      </c>
      <c r="L80" s="14">
        <f>SUM(B80:K80)/(10-1)</f>
        <v>0.0001155734678</v>
      </c>
      <c r="M80" s="5" t="s">
        <v>15</v>
      </c>
    </row>
    <row r="81">
      <c r="L81" s="14">
        <f>SQRT(L80)</f>
        <v>0.01075051012</v>
      </c>
      <c r="M81" s="5" t="s">
        <v>16</v>
      </c>
    </row>
    <row r="82">
      <c r="A82" s="3"/>
      <c r="M82" s="3"/>
    </row>
    <row r="83">
      <c r="A83" s="3"/>
      <c r="M83" s="3"/>
    </row>
    <row r="84">
      <c r="A84" s="3"/>
      <c r="M84" s="3"/>
    </row>
    <row r="85">
      <c r="A85" s="3"/>
      <c r="M85" s="3"/>
    </row>
    <row r="86">
      <c r="A86" s="3"/>
      <c r="M86" s="3"/>
    </row>
    <row r="87">
      <c r="A87" s="3"/>
      <c r="M87" s="3"/>
    </row>
    <row r="88">
      <c r="A88" s="3"/>
      <c r="M88" s="3"/>
    </row>
    <row r="89">
      <c r="A89" s="3"/>
      <c r="M89" s="3"/>
    </row>
    <row r="90">
      <c r="A90" s="3"/>
      <c r="M90" s="3"/>
    </row>
    <row r="91">
      <c r="A91" s="3"/>
      <c r="M91" s="3"/>
    </row>
    <row r="92">
      <c r="A92" s="3"/>
      <c r="M92" s="3"/>
    </row>
    <row r="93">
      <c r="A93" s="3"/>
      <c r="M93" s="3"/>
    </row>
    <row r="94">
      <c r="A94" s="3"/>
      <c r="M94" s="3"/>
    </row>
    <row r="95">
      <c r="A95" s="3"/>
      <c r="M95" s="3"/>
    </row>
    <row r="96">
      <c r="A96" s="3"/>
      <c r="M96" s="3"/>
    </row>
    <row r="97">
      <c r="A97" s="3"/>
      <c r="M97" s="3"/>
    </row>
    <row r="98">
      <c r="A98" s="3"/>
      <c r="M98" s="3"/>
    </row>
    <row r="99">
      <c r="A99" s="3"/>
      <c r="M99" s="3"/>
    </row>
    <row r="100">
      <c r="A100" s="3"/>
      <c r="M100" s="3"/>
    </row>
    <row r="101">
      <c r="A101" s="3"/>
      <c r="M101" s="3"/>
    </row>
    <row r="102">
      <c r="A102" s="3"/>
      <c r="M102" s="3"/>
    </row>
    <row r="103">
      <c r="A103" s="3"/>
      <c r="M103" s="3"/>
    </row>
    <row r="104">
      <c r="A104" s="3"/>
      <c r="M104" s="3"/>
    </row>
    <row r="105">
      <c r="A105" s="3"/>
      <c r="M105" s="3"/>
    </row>
    <row r="106">
      <c r="A106" s="3"/>
      <c r="M106" s="3"/>
    </row>
    <row r="107">
      <c r="A107" s="3"/>
      <c r="M107" s="3"/>
    </row>
    <row r="108">
      <c r="A108" s="3"/>
      <c r="M108" s="3"/>
    </row>
    <row r="109">
      <c r="A109" s="3"/>
      <c r="M109" s="3"/>
    </row>
    <row r="110">
      <c r="A110" s="3"/>
      <c r="M110" s="3"/>
    </row>
    <row r="111">
      <c r="A111" s="3"/>
      <c r="M111" s="3"/>
    </row>
    <row r="112">
      <c r="A112" s="3"/>
      <c r="M112" s="3"/>
    </row>
    <row r="113">
      <c r="A113" s="3"/>
      <c r="M113" s="3"/>
    </row>
    <row r="114">
      <c r="A114" s="3"/>
      <c r="M114" s="3"/>
    </row>
    <row r="115">
      <c r="A115" s="3"/>
      <c r="M115" s="3"/>
    </row>
    <row r="116">
      <c r="A116" s="3"/>
      <c r="M116" s="3"/>
    </row>
    <row r="117">
      <c r="A117" s="3"/>
      <c r="M117" s="3"/>
    </row>
    <row r="118">
      <c r="A118" s="3"/>
      <c r="M118" s="3"/>
    </row>
    <row r="119">
      <c r="A119" s="3"/>
      <c r="M119" s="3"/>
    </row>
    <row r="120">
      <c r="A120" s="3"/>
      <c r="M120" s="3"/>
    </row>
    <row r="121">
      <c r="A121" s="3"/>
      <c r="M121" s="3"/>
    </row>
    <row r="122">
      <c r="A122" s="3"/>
      <c r="M122" s="3"/>
    </row>
    <row r="123">
      <c r="A123" s="3"/>
      <c r="M123" s="3"/>
    </row>
    <row r="124">
      <c r="A124" s="3"/>
      <c r="M124" s="3"/>
    </row>
    <row r="125">
      <c r="A125" s="3"/>
      <c r="M125" s="3"/>
    </row>
    <row r="126">
      <c r="A126" s="3"/>
      <c r="M126" s="3"/>
    </row>
    <row r="127">
      <c r="A127" s="3"/>
      <c r="M127" s="3"/>
    </row>
    <row r="128">
      <c r="A128" s="3"/>
      <c r="M128" s="3"/>
    </row>
    <row r="129">
      <c r="A129" s="3"/>
      <c r="M129" s="3"/>
    </row>
    <row r="130">
      <c r="A130" s="3"/>
      <c r="M130" s="3"/>
    </row>
    <row r="131">
      <c r="A131" s="3"/>
      <c r="M131" s="3"/>
    </row>
    <row r="132">
      <c r="A132" s="3"/>
      <c r="M132" s="3"/>
    </row>
    <row r="133">
      <c r="A133" s="3"/>
      <c r="M133" s="3"/>
    </row>
    <row r="134">
      <c r="A134" s="3"/>
      <c r="M134" s="3"/>
    </row>
    <row r="135">
      <c r="A135" s="3"/>
      <c r="M135" s="3"/>
    </row>
    <row r="136">
      <c r="A136" s="3"/>
      <c r="M136" s="3"/>
    </row>
    <row r="137">
      <c r="A137" s="3"/>
      <c r="M137" s="3"/>
    </row>
    <row r="138">
      <c r="A138" s="3"/>
      <c r="M138" s="3"/>
    </row>
    <row r="139">
      <c r="A139" s="3"/>
      <c r="M139" s="3"/>
    </row>
    <row r="140">
      <c r="A140" s="3"/>
      <c r="M140" s="3"/>
    </row>
    <row r="141">
      <c r="A141" s="3"/>
      <c r="M141" s="3"/>
    </row>
    <row r="142">
      <c r="A142" s="3"/>
      <c r="M142" s="3"/>
    </row>
    <row r="143">
      <c r="A143" s="3"/>
      <c r="M143" s="3"/>
    </row>
    <row r="144">
      <c r="A144" s="3"/>
      <c r="M144" s="3"/>
    </row>
    <row r="145">
      <c r="A145" s="3"/>
      <c r="M145" s="3"/>
    </row>
    <row r="146">
      <c r="A146" s="3"/>
      <c r="M146" s="3"/>
    </row>
    <row r="147">
      <c r="A147" s="3"/>
      <c r="M147" s="3"/>
    </row>
    <row r="148">
      <c r="A148" s="3"/>
      <c r="M148" s="3"/>
    </row>
    <row r="149">
      <c r="A149" s="3"/>
      <c r="M149" s="3"/>
    </row>
    <row r="150">
      <c r="A150" s="3"/>
      <c r="M150" s="3"/>
    </row>
    <row r="151">
      <c r="A151" s="3"/>
      <c r="M151" s="3"/>
    </row>
    <row r="152">
      <c r="A152" s="3"/>
      <c r="M152" s="3"/>
    </row>
    <row r="153">
      <c r="A153" s="3"/>
      <c r="M153" s="3"/>
    </row>
    <row r="154">
      <c r="A154" s="3"/>
      <c r="M154" s="3"/>
    </row>
    <row r="155">
      <c r="A155" s="3"/>
      <c r="M155" s="3"/>
    </row>
    <row r="156">
      <c r="A156" s="3"/>
      <c r="M156" s="3"/>
    </row>
    <row r="157">
      <c r="A157" s="3"/>
      <c r="M157" s="3"/>
    </row>
    <row r="158">
      <c r="A158" s="3"/>
      <c r="M158" s="3"/>
    </row>
    <row r="159">
      <c r="A159" s="3"/>
      <c r="M159" s="3"/>
    </row>
    <row r="160">
      <c r="A160" s="3"/>
      <c r="M160" s="3"/>
    </row>
    <row r="161">
      <c r="A161" s="3"/>
      <c r="M161" s="3"/>
    </row>
    <row r="162">
      <c r="A162" s="3"/>
      <c r="M162" s="3"/>
    </row>
    <row r="163">
      <c r="A163" s="3"/>
      <c r="M163" s="3"/>
    </row>
    <row r="164">
      <c r="A164" s="3"/>
      <c r="M164" s="3"/>
    </row>
    <row r="165">
      <c r="A165" s="3"/>
      <c r="M165" s="3"/>
    </row>
    <row r="166">
      <c r="A166" s="3"/>
      <c r="M166" s="3"/>
    </row>
    <row r="167">
      <c r="A167" s="3"/>
      <c r="M167" s="3"/>
    </row>
    <row r="168">
      <c r="A168" s="3"/>
      <c r="M168" s="3"/>
    </row>
    <row r="169">
      <c r="A169" s="3"/>
      <c r="M169" s="3"/>
    </row>
    <row r="170">
      <c r="A170" s="3"/>
      <c r="M170" s="3"/>
    </row>
    <row r="171">
      <c r="A171" s="3"/>
      <c r="M171" s="3"/>
    </row>
    <row r="172">
      <c r="A172" s="3"/>
      <c r="M172" s="3"/>
    </row>
    <row r="173">
      <c r="A173" s="3"/>
      <c r="M173" s="3"/>
    </row>
    <row r="174">
      <c r="A174" s="3"/>
      <c r="M174" s="3"/>
    </row>
    <row r="175">
      <c r="A175" s="3"/>
      <c r="M175" s="3"/>
    </row>
    <row r="176">
      <c r="A176" s="3"/>
      <c r="M176" s="3"/>
    </row>
    <row r="177">
      <c r="A177" s="3"/>
      <c r="M177" s="3"/>
    </row>
    <row r="178">
      <c r="A178" s="3"/>
      <c r="M178" s="3"/>
    </row>
    <row r="179">
      <c r="A179" s="3"/>
      <c r="M179" s="3"/>
    </row>
    <row r="180">
      <c r="A180" s="3"/>
      <c r="M180" s="3"/>
    </row>
    <row r="181">
      <c r="A181" s="3"/>
      <c r="M181" s="3"/>
    </row>
    <row r="182">
      <c r="A182" s="3"/>
      <c r="M182" s="3"/>
    </row>
    <row r="183">
      <c r="A183" s="3"/>
      <c r="M183" s="3"/>
    </row>
    <row r="184">
      <c r="A184" s="3"/>
      <c r="M184" s="3"/>
    </row>
    <row r="185">
      <c r="A185" s="3"/>
      <c r="M185" s="3"/>
    </row>
    <row r="186">
      <c r="A186" s="3"/>
      <c r="M186" s="3"/>
    </row>
    <row r="187">
      <c r="A187" s="3"/>
      <c r="M187" s="3"/>
    </row>
    <row r="188">
      <c r="A188" s="3"/>
      <c r="M188" s="3"/>
    </row>
    <row r="189">
      <c r="A189" s="3"/>
      <c r="M189" s="3"/>
    </row>
    <row r="190">
      <c r="A190" s="3"/>
      <c r="M190" s="3"/>
    </row>
    <row r="191">
      <c r="A191" s="3"/>
      <c r="M191" s="3"/>
    </row>
    <row r="192">
      <c r="A192" s="3"/>
      <c r="M192" s="3"/>
    </row>
    <row r="193">
      <c r="A193" s="3"/>
      <c r="M193" s="3"/>
    </row>
    <row r="194">
      <c r="A194" s="3"/>
      <c r="M194" s="3"/>
    </row>
    <row r="195">
      <c r="A195" s="3"/>
      <c r="M195" s="3"/>
    </row>
    <row r="196">
      <c r="A196" s="3"/>
      <c r="M196" s="3"/>
    </row>
    <row r="197">
      <c r="A197" s="3"/>
      <c r="M197" s="3"/>
    </row>
    <row r="198">
      <c r="A198" s="3"/>
      <c r="M198" s="3"/>
    </row>
    <row r="199">
      <c r="A199" s="3"/>
      <c r="M199" s="3"/>
    </row>
    <row r="200">
      <c r="A200" s="3"/>
      <c r="M200" s="3"/>
    </row>
    <row r="201">
      <c r="A201" s="3"/>
      <c r="M201" s="3"/>
    </row>
    <row r="202">
      <c r="A202" s="3"/>
      <c r="M202" s="3"/>
    </row>
    <row r="203">
      <c r="A203" s="3"/>
      <c r="M203" s="3"/>
    </row>
    <row r="204">
      <c r="A204" s="3"/>
      <c r="M204" s="3"/>
    </row>
    <row r="205">
      <c r="A205" s="3"/>
      <c r="M205" s="3"/>
    </row>
    <row r="206">
      <c r="A206" s="3"/>
      <c r="M206" s="3"/>
    </row>
    <row r="207">
      <c r="A207" s="3"/>
      <c r="M207" s="3"/>
    </row>
    <row r="208">
      <c r="A208" s="3"/>
      <c r="M208" s="3"/>
    </row>
    <row r="209">
      <c r="A209" s="3"/>
      <c r="M209" s="3"/>
    </row>
    <row r="210">
      <c r="A210" s="3"/>
      <c r="M210" s="3"/>
    </row>
    <row r="211">
      <c r="A211" s="3"/>
      <c r="M211" s="3"/>
    </row>
    <row r="212">
      <c r="A212" s="3"/>
      <c r="M212" s="3"/>
    </row>
    <row r="213">
      <c r="A213" s="3"/>
      <c r="M213" s="3"/>
    </row>
    <row r="214">
      <c r="A214" s="3"/>
      <c r="M214" s="3"/>
    </row>
    <row r="215">
      <c r="A215" s="3"/>
      <c r="M215" s="3"/>
    </row>
    <row r="216">
      <c r="A216" s="3"/>
      <c r="M216" s="3"/>
    </row>
    <row r="217">
      <c r="A217" s="3"/>
      <c r="M217" s="3"/>
    </row>
    <row r="218">
      <c r="A218" s="3"/>
      <c r="M218" s="3"/>
    </row>
    <row r="219">
      <c r="A219" s="3"/>
      <c r="M219" s="3"/>
    </row>
    <row r="220">
      <c r="A220" s="3"/>
      <c r="M220" s="3"/>
    </row>
    <row r="221">
      <c r="A221" s="3"/>
      <c r="M221" s="3"/>
    </row>
    <row r="222">
      <c r="A222" s="3"/>
      <c r="M222" s="3"/>
    </row>
    <row r="223">
      <c r="A223" s="3"/>
      <c r="M223" s="3"/>
    </row>
    <row r="224">
      <c r="A224" s="3"/>
      <c r="M224" s="3"/>
    </row>
    <row r="225">
      <c r="A225" s="3"/>
      <c r="M225" s="3"/>
    </row>
    <row r="226">
      <c r="A226" s="3"/>
      <c r="M226" s="3"/>
    </row>
    <row r="227">
      <c r="A227" s="3"/>
      <c r="M227" s="3"/>
    </row>
    <row r="228">
      <c r="A228" s="3"/>
      <c r="M228" s="3"/>
    </row>
    <row r="229">
      <c r="A229" s="3"/>
      <c r="M229" s="3"/>
    </row>
    <row r="230">
      <c r="A230" s="3"/>
      <c r="M230" s="3"/>
    </row>
    <row r="231">
      <c r="A231" s="3"/>
      <c r="M231" s="3"/>
    </row>
    <row r="232">
      <c r="A232" s="3"/>
      <c r="M232" s="3"/>
    </row>
    <row r="233">
      <c r="A233" s="3"/>
      <c r="M233" s="3"/>
    </row>
    <row r="234">
      <c r="A234" s="3"/>
      <c r="M234" s="3"/>
    </row>
    <row r="235">
      <c r="A235" s="3"/>
      <c r="M235" s="3"/>
    </row>
    <row r="236">
      <c r="A236" s="3"/>
      <c r="M236" s="3"/>
    </row>
    <row r="237">
      <c r="A237" s="3"/>
      <c r="M237" s="3"/>
    </row>
    <row r="238">
      <c r="A238" s="3"/>
      <c r="M238" s="3"/>
    </row>
    <row r="239">
      <c r="A239" s="3"/>
      <c r="M239" s="3"/>
    </row>
    <row r="240">
      <c r="A240" s="3"/>
      <c r="M240" s="3"/>
    </row>
    <row r="241">
      <c r="A241" s="3"/>
      <c r="M241" s="3"/>
    </row>
    <row r="242">
      <c r="A242" s="3"/>
      <c r="M242" s="3"/>
    </row>
    <row r="243">
      <c r="A243" s="3"/>
      <c r="M243" s="3"/>
    </row>
    <row r="244">
      <c r="A244" s="3"/>
      <c r="M244" s="3"/>
    </row>
    <row r="245">
      <c r="A245" s="3"/>
      <c r="M245" s="3"/>
    </row>
    <row r="246">
      <c r="A246" s="3"/>
      <c r="M246" s="3"/>
    </row>
    <row r="247">
      <c r="A247" s="3"/>
      <c r="M247" s="3"/>
    </row>
    <row r="248">
      <c r="A248" s="3"/>
      <c r="M248" s="3"/>
    </row>
    <row r="249">
      <c r="A249" s="3"/>
      <c r="M249" s="3"/>
    </row>
    <row r="250">
      <c r="A250" s="3"/>
      <c r="M250" s="3"/>
    </row>
    <row r="251">
      <c r="A251" s="3"/>
      <c r="M251" s="3"/>
    </row>
    <row r="252">
      <c r="A252" s="3"/>
      <c r="M252" s="3"/>
    </row>
    <row r="253">
      <c r="A253" s="3"/>
      <c r="M253" s="3"/>
    </row>
    <row r="254">
      <c r="A254" s="3"/>
      <c r="M254" s="3"/>
    </row>
    <row r="255">
      <c r="A255" s="3"/>
      <c r="M255" s="3"/>
    </row>
    <row r="256">
      <c r="A256" s="3"/>
      <c r="M256" s="3"/>
    </row>
    <row r="257">
      <c r="A257" s="3"/>
      <c r="M257" s="3"/>
    </row>
    <row r="258">
      <c r="A258" s="3"/>
      <c r="M258" s="3"/>
    </row>
    <row r="259">
      <c r="A259" s="3"/>
      <c r="M259" s="3"/>
    </row>
    <row r="260">
      <c r="A260" s="3"/>
      <c r="M260" s="3"/>
    </row>
    <row r="261">
      <c r="A261" s="3"/>
      <c r="M261" s="3"/>
    </row>
    <row r="262">
      <c r="A262" s="3"/>
      <c r="M262" s="3"/>
    </row>
    <row r="263">
      <c r="A263" s="3"/>
      <c r="M263" s="3"/>
    </row>
    <row r="264">
      <c r="A264" s="3"/>
      <c r="M264" s="3"/>
    </row>
    <row r="265">
      <c r="A265" s="3"/>
      <c r="M265" s="3"/>
    </row>
    <row r="266">
      <c r="A266" s="3"/>
      <c r="M266" s="3"/>
    </row>
    <row r="267">
      <c r="A267" s="3"/>
      <c r="M267" s="3"/>
    </row>
    <row r="268">
      <c r="A268" s="3"/>
      <c r="M268" s="3"/>
    </row>
    <row r="269">
      <c r="A269" s="3"/>
      <c r="M269" s="3"/>
    </row>
    <row r="270">
      <c r="A270" s="3"/>
      <c r="M270" s="3"/>
    </row>
    <row r="271">
      <c r="A271" s="3"/>
      <c r="M271" s="3"/>
    </row>
    <row r="272">
      <c r="A272" s="3"/>
      <c r="M272" s="3"/>
    </row>
    <row r="273">
      <c r="A273" s="3"/>
      <c r="M273" s="3"/>
    </row>
    <row r="274">
      <c r="A274" s="3"/>
      <c r="M274" s="3"/>
    </row>
    <row r="275">
      <c r="A275" s="3"/>
      <c r="M275" s="3"/>
    </row>
    <row r="276">
      <c r="A276" s="3"/>
      <c r="M276" s="3"/>
    </row>
    <row r="277">
      <c r="A277" s="3"/>
      <c r="M277" s="3"/>
    </row>
    <row r="278">
      <c r="A278" s="3"/>
      <c r="M278" s="3"/>
    </row>
    <row r="279">
      <c r="A279" s="3"/>
      <c r="M279" s="3"/>
    </row>
    <row r="280">
      <c r="A280" s="3"/>
      <c r="M280" s="3"/>
    </row>
    <row r="281">
      <c r="A281" s="3"/>
      <c r="M281" s="3"/>
    </row>
    <row r="282">
      <c r="A282" s="3"/>
      <c r="M282" s="3"/>
    </row>
    <row r="283">
      <c r="A283" s="3"/>
      <c r="M283" s="3"/>
    </row>
    <row r="284">
      <c r="A284" s="3"/>
      <c r="M284" s="3"/>
    </row>
    <row r="285">
      <c r="A285" s="3"/>
      <c r="M285" s="3"/>
    </row>
    <row r="286">
      <c r="A286" s="3"/>
      <c r="M286" s="3"/>
    </row>
    <row r="287">
      <c r="A287" s="3"/>
      <c r="M287" s="3"/>
    </row>
    <row r="288">
      <c r="A288" s="3"/>
      <c r="M288" s="3"/>
    </row>
    <row r="289">
      <c r="A289" s="3"/>
      <c r="M289" s="3"/>
    </row>
    <row r="290">
      <c r="A290" s="3"/>
      <c r="M290" s="3"/>
    </row>
    <row r="291">
      <c r="A291" s="3"/>
      <c r="M291" s="3"/>
    </row>
    <row r="292">
      <c r="A292" s="3"/>
      <c r="M292" s="3"/>
    </row>
    <row r="293">
      <c r="A293" s="3"/>
      <c r="M293" s="3"/>
    </row>
    <row r="294">
      <c r="A294" s="3"/>
      <c r="M294" s="3"/>
    </row>
    <row r="295">
      <c r="A295" s="3"/>
      <c r="M295" s="3"/>
    </row>
    <row r="296">
      <c r="A296" s="3"/>
      <c r="M296" s="3"/>
    </row>
    <row r="297">
      <c r="A297" s="3"/>
      <c r="M297" s="3"/>
    </row>
    <row r="298">
      <c r="A298" s="3"/>
      <c r="M298" s="3"/>
    </row>
    <row r="299">
      <c r="A299" s="3"/>
      <c r="M299" s="3"/>
    </row>
    <row r="300">
      <c r="A300" s="3"/>
      <c r="M300" s="3"/>
    </row>
    <row r="301">
      <c r="A301" s="3"/>
      <c r="M301" s="3"/>
    </row>
    <row r="302">
      <c r="A302" s="3"/>
      <c r="M302" s="3"/>
    </row>
    <row r="303">
      <c r="A303" s="3"/>
      <c r="M303" s="3"/>
    </row>
    <row r="304">
      <c r="A304" s="3"/>
      <c r="M304" s="3"/>
    </row>
    <row r="305">
      <c r="A305" s="3"/>
      <c r="M305" s="3"/>
    </row>
    <row r="306">
      <c r="A306" s="3"/>
      <c r="M306" s="3"/>
    </row>
    <row r="307">
      <c r="A307" s="3"/>
      <c r="M307" s="3"/>
    </row>
    <row r="308">
      <c r="A308" s="3"/>
      <c r="M308" s="3"/>
    </row>
    <row r="309">
      <c r="A309" s="3"/>
      <c r="M309" s="3"/>
    </row>
    <row r="310">
      <c r="A310" s="3"/>
      <c r="M310" s="3"/>
    </row>
    <row r="311">
      <c r="A311" s="3"/>
      <c r="M311" s="3"/>
    </row>
    <row r="312">
      <c r="A312" s="3"/>
      <c r="M312" s="3"/>
    </row>
    <row r="313">
      <c r="A313" s="3"/>
      <c r="M313" s="3"/>
    </row>
    <row r="314">
      <c r="A314" s="3"/>
      <c r="M314" s="3"/>
    </row>
    <row r="315">
      <c r="A315" s="3"/>
      <c r="M315" s="3"/>
    </row>
    <row r="316">
      <c r="A316" s="3"/>
      <c r="M316" s="3"/>
    </row>
    <row r="317">
      <c r="A317" s="3"/>
      <c r="M317" s="3"/>
    </row>
    <row r="318">
      <c r="A318" s="3"/>
      <c r="M318" s="3"/>
    </row>
    <row r="319">
      <c r="A319" s="3"/>
      <c r="M319" s="3"/>
    </row>
    <row r="320">
      <c r="A320" s="3"/>
      <c r="M320" s="3"/>
    </row>
    <row r="321">
      <c r="A321" s="3"/>
      <c r="M321" s="3"/>
    </row>
    <row r="322">
      <c r="A322" s="3"/>
      <c r="M322" s="3"/>
    </row>
    <row r="323">
      <c r="A323" s="3"/>
      <c r="M323" s="3"/>
    </row>
    <row r="324">
      <c r="A324" s="3"/>
      <c r="M324" s="3"/>
    </row>
    <row r="325">
      <c r="A325" s="3"/>
      <c r="M325" s="3"/>
    </row>
    <row r="326">
      <c r="A326" s="3"/>
      <c r="M326" s="3"/>
    </row>
    <row r="327">
      <c r="A327" s="3"/>
      <c r="M327" s="3"/>
    </row>
    <row r="328">
      <c r="A328" s="3"/>
      <c r="M328" s="3"/>
    </row>
    <row r="329">
      <c r="A329" s="3"/>
      <c r="M329" s="3"/>
    </row>
    <row r="330">
      <c r="A330" s="3"/>
      <c r="M330" s="3"/>
    </row>
    <row r="331">
      <c r="A331" s="3"/>
      <c r="M331" s="3"/>
    </row>
    <row r="332">
      <c r="A332" s="3"/>
      <c r="M332" s="3"/>
    </row>
    <row r="333">
      <c r="A333" s="3"/>
      <c r="M333" s="3"/>
    </row>
    <row r="334">
      <c r="A334" s="3"/>
      <c r="M334" s="3"/>
    </row>
    <row r="335">
      <c r="A335" s="3"/>
      <c r="M335" s="3"/>
    </row>
    <row r="336">
      <c r="A336" s="3"/>
      <c r="M336" s="3"/>
    </row>
    <row r="337">
      <c r="A337" s="3"/>
      <c r="M337" s="3"/>
    </row>
    <row r="338">
      <c r="A338" s="3"/>
      <c r="M338" s="3"/>
    </row>
    <row r="339">
      <c r="A339" s="3"/>
      <c r="M339" s="3"/>
    </row>
    <row r="340">
      <c r="A340" s="3"/>
      <c r="M340" s="3"/>
    </row>
    <row r="341">
      <c r="A341" s="3"/>
      <c r="M341" s="3"/>
    </row>
    <row r="342">
      <c r="A342" s="3"/>
      <c r="M342" s="3"/>
    </row>
    <row r="343">
      <c r="A343" s="3"/>
      <c r="M343" s="3"/>
    </row>
    <row r="344">
      <c r="A344" s="3"/>
      <c r="M344" s="3"/>
    </row>
    <row r="345">
      <c r="A345" s="3"/>
      <c r="M345" s="3"/>
    </row>
    <row r="346">
      <c r="A346" s="3"/>
      <c r="M346" s="3"/>
    </row>
    <row r="347">
      <c r="A347" s="3"/>
      <c r="M347" s="3"/>
    </row>
    <row r="348">
      <c r="A348" s="3"/>
      <c r="M348" s="3"/>
    </row>
    <row r="349">
      <c r="A349" s="3"/>
      <c r="M349" s="3"/>
    </row>
    <row r="350">
      <c r="A350" s="3"/>
      <c r="M350" s="3"/>
    </row>
    <row r="351">
      <c r="A351" s="3"/>
      <c r="M351" s="3"/>
    </row>
    <row r="352">
      <c r="A352" s="3"/>
      <c r="M352" s="3"/>
    </row>
    <row r="353">
      <c r="A353" s="3"/>
      <c r="M353" s="3"/>
    </row>
    <row r="354">
      <c r="A354" s="3"/>
      <c r="M354" s="3"/>
    </row>
    <row r="355">
      <c r="A355" s="3"/>
      <c r="M355" s="3"/>
    </row>
    <row r="356">
      <c r="A356" s="3"/>
      <c r="M356" s="3"/>
    </row>
    <row r="357">
      <c r="A357" s="3"/>
      <c r="M357" s="3"/>
    </row>
    <row r="358">
      <c r="A358" s="3"/>
      <c r="M358" s="3"/>
    </row>
    <row r="359">
      <c r="A359" s="3"/>
      <c r="M359" s="3"/>
    </row>
    <row r="360">
      <c r="A360" s="3"/>
      <c r="M360" s="3"/>
    </row>
    <row r="361">
      <c r="A361" s="3"/>
      <c r="M361" s="3"/>
    </row>
    <row r="362">
      <c r="A362" s="3"/>
      <c r="M362" s="3"/>
    </row>
    <row r="363">
      <c r="A363" s="3"/>
      <c r="M363" s="3"/>
    </row>
    <row r="364">
      <c r="A364" s="3"/>
      <c r="M364" s="3"/>
    </row>
    <row r="365">
      <c r="A365" s="3"/>
      <c r="M365" s="3"/>
    </row>
    <row r="366">
      <c r="A366" s="3"/>
      <c r="M366" s="3"/>
    </row>
    <row r="367">
      <c r="A367" s="3"/>
      <c r="M367" s="3"/>
    </row>
    <row r="368">
      <c r="A368" s="3"/>
      <c r="M368" s="3"/>
    </row>
    <row r="369">
      <c r="A369" s="3"/>
      <c r="M369" s="3"/>
    </row>
    <row r="370">
      <c r="A370" s="3"/>
      <c r="M370" s="3"/>
    </row>
    <row r="371">
      <c r="A371" s="3"/>
      <c r="M371" s="3"/>
    </row>
    <row r="372">
      <c r="A372" s="3"/>
      <c r="M372" s="3"/>
    </row>
    <row r="373">
      <c r="A373" s="3"/>
      <c r="M373" s="3"/>
    </row>
    <row r="374">
      <c r="A374" s="3"/>
      <c r="M374" s="3"/>
    </row>
    <row r="375">
      <c r="A375" s="3"/>
      <c r="M375" s="3"/>
    </row>
    <row r="376">
      <c r="A376" s="3"/>
      <c r="M376" s="3"/>
    </row>
    <row r="377">
      <c r="A377" s="3"/>
      <c r="M377" s="3"/>
    </row>
    <row r="378">
      <c r="A378" s="3"/>
      <c r="M378" s="3"/>
    </row>
    <row r="379">
      <c r="A379" s="3"/>
      <c r="M379" s="3"/>
    </row>
    <row r="380">
      <c r="A380" s="3"/>
      <c r="M380" s="3"/>
    </row>
    <row r="381">
      <c r="A381" s="3"/>
      <c r="M381" s="3"/>
    </row>
    <row r="382">
      <c r="A382" s="3"/>
      <c r="M382" s="3"/>
    </row>
    <row r="383">
      <c r="A383" s="3"/>
      <c r="M383" s="3"/>
    </row>
    <row r="384">
      <c r="A384" s="3"/>
      <c r="M384" s="3"/>
    </row>
    <row r="385">
      <c r="A385" s="3"/>
      <c r="M385" s="3"/>
    </row>
    <row r="386">
      <c r="A386" s="3"/>
      <c r="M386" s="3"/>
    </row>
    <row r="387">
      <c r="A387" s="3"/>
      <c r="M387" s="3"/>
    </row>
    <row r="388">
      <c r="A388" s="3"/>
      <c r="M388" s="3"/>
    </row>
    <row r="389">
      <c r="A389" s="3"/>
      <c r="M389" s="3"/>
    </row>
    <row r="390">
      <c r="A390" s="3"/>
      <c r="M390" s="3"/>
    </row>
    <row r="391">
      <c r="A391" s="3"/>
      <c r="M391" s="3"/>
    </row>
    <row r="392">
      <c r="A392" s="3"/>
      <c r="M392" s="3"/>
    </row>
    <row r="393">
      <c r="A393" s="3"/>
      <c r="M393" s="3"/>
    </row>
    <row r="394">
      <c r="A394" s="3"/>
      <c r="M394" s="3"/>
    </row>
    <row r="395">
      <c r="A395" s="3"/>
      <c r="M395" s="3"/>
    </row>
    <row r="396">
      <c r="A396" s="3"/>
      <c r="M396" s="3"/>
    </row>
    <row r="397">
      <c r="A397" s="3"/>
      <c r="M397" s="3"/>
    </row>
    <row r="398">
      <c r="A398" s="3"/>
      <c r="M398" s="3"/>
    </row>
    <row r="399">
      <c r="A399" s="3"/>
      <c r="M399" s="3"/>
    </row>
    <row r="400">
      <c r="A400" s="3"/>
      <c r="M400" s="3"/>
    </row>
    <row r="401">
      <c r="A401" s="3"/>
      <c r="M401" s="3"/>
    </row>
    <row r="402">
      <c r="A402" s="3"/>
      <c r="M402" s="3"/>
    </row>
    <row r="403">
      <c r="A403" s="3"/>
      <c r="M403" s="3"/>
    </row>
    <row r="404">
      <c r="A404" s="3"/>
      <c r="M404" s="3"/>
    </row>
    <row r="405">
      <c r="A405" s="3"/>
      <c r="M405" s="3"/>
    </row>
    <row r="406">
      <c r="A406" s="3"/>
      <c r="M406" s="3"/>
    </row>
    <row r="407">
      <c r="A407" s="3"/>
      <c r="M407" s="3"/>
    </row>
    <row r="408">
      <c r="A408" s="3"/>
      <c r="M408" s="3"/>
    </row>
    <row r="409">
      <c r="A409" s="3"/>
      <c r="M409" s="3"/>
    </row>
    <row r="410">
      <c r="A410" s="3"/>
      <c r="M410" s="3"/>
    </row>
    <row r="411">
      <c r="A411" s="3"/>
      <c r="M411" s="3"/>
    </row>
    <row r="412">
      <c r="A412" s="3"/>
      <c r="M412" s="3"/>
    </row>
    <row r="413">
      <c r="A413" s="3"/>
      <c r="M413" s="3"/>
    </row>
    <row r="414">
      <c r="A414" s="3"/>
      <c r="M414" s="3"/>
    </row>
    <row r="415">
      <c r="A415" s="3"/>
      <c r="M415" s="3"/>
    </row>
    <row r="416">
      <c r="A416" s="3"/>
      <c r="M416" s="3"/>
    </row>
    <row r="417">
      <c r="A417" s="3"/>
      <c r="M417" s="3"/>
    </row>
    <row r="418">
      <c r="A418" s="3"/>
      <c r="M418" s="3"/>
    </row>
    <row r="419">
      <c r="A419" s="3"/>
      <c r="M419" s="3"/>
    </row>
    <row r="420">
      <c r="A420" s="3"/>
      <c r="M420" s="3"/>
    </row>
    <row r="421">
      <c r="A421" s="3"/>
      <c r="M421" s="3"/>
    </row>
    <row r="422">
      <c r="A422" s="3"/>
      <c r="M422" s="3"/>
    </row>
    <row r="423">
      <c r="A423" s="3"/>
      <c r="M423" s="3"/>
    </row>
    <row r="424">
      <c r="A424" s="3"/>
      <c r="M424" s="3"/>
    </row>
    <row r="425">
      <c r="A425" s="3"/>
      <c r="M425" s="3"/>
    </row>
    <row r="426">
      <c r="A426" s="3"/>
      <c r="M426" s="3"/>
    </row>
    <row r="427">
      <c r="A427" s="3"/>
      <c r="M427" s="3"/>
    </row>
    <row r="428">
      <c r="A428" s="3"/>
      <c r="M428" s="3"/>
    </row>
    <row r="429">
      <c r="A429" s="3"/>
      <c r="M429" s="3"/>
    </row>
    <row r="430">
      <c r="A430" s="3"/>
      <c r="M430" s="3"/>
    </row>
    <row r="431">
      <c r="A431" s="3"/>
      <c r="M431" s="3"/>
    </row>
    <row r="432">
      <c r="A432" s="3"/>
      <c r="M432" s="3"/>
    </row>
    <row r="433">
      <c r="A433" s="3"/>
      <c r="M433" s="3"/>
    </row>
    <row r="434">
      <c r="A434" s="3"/>
      <c r="M434" s="3"/>
    </row>
    <row r="435">
      <c r="A435" s="3"/>
      <c r="M435" s="3"/>
    </row>
    <row r="436">
      <c r="A436" s="3"/>
      <c r="M436" s="3"/>
    </row>
    <row r="437">
      <c r="A437" s="3"/>
      <c r="M437" s="3"/>
    </row>
    <row r="438">
      <c r="A438" s="3"/>
      <c r="M438" s="3"/>
    </row>
    <row r="439">
      <c r="A439" s="3"/>
      <c r="M439" s="3"/>
    </row>
    <row r="440">
      <c r="A440" s="3"/>
      <c r="M440" s="3"/>
    </row>
    <row r="441">
      <c r="A441" s="3"/>
      <c r="M441" s="3"/>
    </row>
    <row r="442">
      <c r="A442" s="3"/>
      <c r="M442" s="3"/>
    </row>
    <row r="443">
      <c r="A443" s="3"/>
      <c r="M443" s="3"/>
    </row>
    <row r="444">
      <c r="A444" s="3"/>
      <c r="M444" s="3"/>
    </row>
    <row r="445">
      <c r="A445" s="3"/>
      <c r="M445" s="3"/>
    </row>
    <row r="446">
      <c r="A446" s="3"/>
      <c r="M446" s="3"/>
    </row>
    <row r="447">
      <c r="A447" s="3"/>
      <c r="M447" s="3"/>
    </row>
    <row r="448">
      <c r="A448" s="3"/>
      <c r="M448" s="3"/>
    </row>
    <row r="449">
      <c r="A449" s="3"/>
      <c r="M449" s="3"/>
    </row>
    <row r="450">
      <c r="A450" s="3"/>
      <c r="M450" s="3"/>
    </row>
    <row r="451">
      <c r="A451" s="3"/>
      <c r="M451" s="3"/>
    </row>
    <row r="452">
      <c r="A452" s="3"/>
      <c r="M452" s="3"/>
    </row>
    <row r="453">
      <c r="A453" s="3"/>
      <c r="M453" s="3"/>
    </row>
    <row r="454">
      <c r="A454" s="3"/>
      <c r="M454" s="3"/>
    </row>
    <row r="455">
      <c r="A455" s="3"/>
      <c r="M455" s="3"/>
    </row>
    <row r="456">
      <c r="A456" s="3"/>
      <c r="M456" s="3"/>
    </row>
    <row r="457">
      <c r="A457" s="3"/>
      <c r="M457" s="3"/>
    </row>
    <row r="458">
      <c r="A458" s="3"/>
      <c r="M458" s="3"/>
    </row>
    <row r="459">
      <c r="A459" s="3"/>
      <c r="M459" s="3"/>
    </row>
    <row r="460">
      <c r="A460" s="3"/>
      <c r="M460" s="3"/>
    </row>
    <row r="461">
      <c r="A461" s="3"/>
      <c r="M461" s="3"/>
    </row>
    <row r="462">
      <c r="A462" s="3"/>
      <c r="M462" s="3"/>
    </row>
    <row r="463">
      <c r="A463" s="3"/>
      <c r="M463" s="3"/>
    </row>
    <row r="464">
      <c r="A464" s="3"/>
      <c r="M464" s="3"/>
    </row>
    <row r="465">
      <c r="A465" s="3"/>
      <c r="M465" s="3"/>
    </row>
    <row r="466">
      <c r="A466" s="3"/>
      <c r="M466" s="3"/>
    </row>
    <row r="467">
      <c r="A467" s="3"/>
      <c r="M467" s="3"/>
    </row>
    <row r="468">
      <c r="A468" s="3"/>
      <c r="M468" s="3"/>
    </row>
    <row r="469">
      <c r="A469" s="3"/>
      <c r="M469" s="3"/>
    </row>
    <row r="470">
      <c r="A470" s="3"/>
      <c r="M470" s="3"/>
    </row>
    <row r="471">
      <c r="A471" s="3"/>
      <c r="M471" s="3"/>
    </row>
    <row r="472">
      <c r="A472" s="3"/>
      <c r="M472" s="3"/>
    </row>
    <row r="473">
      <c r="A473" s="3"/>
      <c r="M473" s="3"/>
    </row>
    <row r="474">
      <c r="A474" s="3"/>
      <c r="M474" s="3"/>
    </row>
    <row r="475">
      <c r="A475" s="3"/>
      <c r="M475" s="3"/>
    </row>
    <row r="476">
      <c r="A476" s="3"/>
      <c r="M476" s="3"/>
    </row>
    <row r="477">
      <c r="A477" s="3"/>
      <c r="M477" s="3"/>
    </row>
    <row r="478">
      <c r="A478" s="3"/>
      <c r="M478" s="3"/>
    </row>
    <row r="479">
      <c r="A479" s="3"/>
      <c r="M479" s="3"/>
    </row>
    <row r="480">
      <c r="A480" s="3"/>
      <c r="M480" s="3"/>
    </row>
    <row r="481">
      <c r="A481" s="3"/>
      <c r="M481" s="3"/>
    </row>
    <row r="482">
      <c r="A482" s="3"/>
      <c r="M482" s="3"/>
    </row>
    <row r="483">
      <c r="A483" s="3"/>
      <c r="M483" s="3"/>
    </row>
    <row r="484">
      <c r="A484" s="3"/>
      <c r="M484" s="3"/>
    </row>
    <row r="485">
      <c r="A485" s="3"/>
      <c r="M485" s="3"/>
    </row>
    <row r="486">
      <c r="A486" s="3"/>
      <c r="M486" s="3"/>
    </row>
    <row r="487">
      <c r="A487" s="3"/>
      <c r="M487" s="3"/>
    </row>
    <row r="488">
      <c r="A488" s="3"/>
      <c r="M488" s="3"/>
    </row>
    <row r="489">
      <c r="A489" s="3"/>
      <c r="M489" s="3"/>
    </row>
    <row r="490">
      <c r="A490" s="3"/>
      <c r="M490" s="3"/>
    </row>
    <row r="491">
      <c r="A491" s="3"/>
      <c r="M491" s="3"/>
    </row>
    <row r="492">
      <c r="A492" s="3"/>
      <c r="M492" s="3"/>
    </row>
    <row r="493">
      <c r="A493" s="3"/>
      <c r="M493" s="3"/>
    </row>
    <row r="494">
      <c r="A494" s="3"/>
      <c r="M494" s="3"/>
    </row>
    <row r="495">
      <c r="A495" s="3"/>
      <c r="M495" s="3"/>
    </row>
    <row r="496">
      <c r="A496" s="3"/>
      <c r="M496" s="3"/>
    </row>
    <row r="497">
      <c r="A497" s="3"/>
      <c r="M497" s="3"/>
    </row>
    <row r="498">
      <c r="A498" s="3"/>
      <c r="M498" s="3"/>
    </row>
    <row r="499">
      <c r="A499" s="3"/>
      <c r="M499" s="3"/>
    </row>
    <row r="500">
      <c r="A500" s="3"/>
      <c r="M500" s="3"/>
    </row>
    <row r="501">
      <c r="A501" s="3"/>
      <c r="M501" s="3"/>
    </row>
    <row r="502">
      <c r="A502" s="3"/>
      <c r="M502" s="3"/>
    </row>
    <row r="503">
      <c r="A503" s="3"/>
      <c r="M503" s="3"/>
    </row>
    <row r="504">
      <c r="A504" s="3"/>
      <c r="M504" s="3"/>
    </row>
    <row r="505">
      <c r="A505" s="3"/>
      <c r="M505" s="3"/>
    </row>
    <row r="506">
      <c r="A506" s="3"/>
      <c r="M506" s="3"/>
    </row>
    <row r="507">
      <c r="A507" s="3"/>
      <c r="M507" s="3"/>
    </row>
    <row r="508">
      <c r="A508" s="3"/>
      <c r="M508" s="3"/>
    </row>
    <row r="509">
      <c r="A509" s="3"/>
      <c r="M509" s="3"/>
    </row>
    <row r="510">
      <c r="A510" s="3"/>
      <c r="M510" s="3"/>
    </row>
    <row r="511">
      <c r="A511" s="3"/>
      <c r="M511" s="3"/>
    </row>
    <row r="512">
      <c r="A512" s="3"/>
      <c r="M512" s="3"/>
    </row>
    <row r="513">
      <c r="A513" s="3"/>
      <c r="M513" s="3"/>
    </row>
    <row r="514">
      <c r="A514" s="3"/>
      <c r="M514" s="3"/>
    </row>
    <row r="515">
      <c r="A515" s="3"/>
      <c r="M515" s="3"/>
    </row>
    <row r="516">
      <c r="A516" s="3"/>
      <c r="M516" s="3"/>
    </row>
    <row r="517">
      <c r="A517" s="3"/>
      <c r="M517" s="3"/>
    </row>
    <row r="518">
      <c r="A518" s="3"/>
      <c r="M518" s="3"/>
    </row>
    <row r="519">
      <c r="A519" s="3"/>
      <c r="M519" s="3"/>
    </row>
    <row r="520">
      <c r="A520" s="3"/>
      <c r="M520" s="3"/>
    </row>
    <row r="521">
      <c r="A521" s="3"/>
      <c r="M521" s="3"/>
    </row>
    <row r="522">
      <c r="A522" s="3"/>
      <c r="M522" s="3"/>
    </row>
    <row r="523">
      <c r="A523" s="3"/>
      <c r="M523" s="3"/>
    </row>
    <row r="524">
      <c r="A524" s="3"/>
      <c r="M524" s="3"/>
    </row>
    <row r="525">
      <c r="A525" s="3"/>
      <c r="M525" s="3"/>
    </row>
    <row r="526">
      <c r="A526" s="3"/>
      <c r="M526" s="3"/>
    </row>
    <row r="527">
      <c r="A527" s="3"/>
      <c r="M527" s="3"/>
    </row>
    <row r="528">
      <c r="A528" s="3"/>
      <c r="M528" s="3"/>
    </row>
    <row r="529">
      <c r="A529" s="3"/>
      <c r="M529" s="3"/>
    </row>
    <row r="530">
      <c r="A530" s="3"/>
      <c r="M530" s="3"/>
    </row>
    <row r="531">
      <c r="A531" s="3"/>
      <c r="M531" s="3"/>
    </row>
    <row r="532">
      <c r="A532" s="3"/>
      <c r="M532" s="3"/>
    </row>
    <row r="533">
      <c r="A533" s="3"/>
      <c r="M533" s="3"/>
    </row>
    <row r="534">
      <c r="A534" s="3"/>
      <c r="M534" s="3"/>
    </row>
    <row r="535">
      <c r="A535" s="3"/>
      <c r="M535" s="3"/>
    </row>
    <row r="536">
      <c r="A536" s="3"/>
      <c r="M536" s="3"/>
    </row>
    <row r="537">
      <c r="A537" s="3"/>
      <c r="M537" s="3"/>
    </row>
    <row r="538">
      <c r="A538" s="3"/>
      <c r="M538" s="3"/>
    </row>
    <row r="539">
      <c r="A539" s="3"/>
      <c r="M539" s="3"/>
    </row>
    <row r="540">
      <c r="A540" s="3"/>
      <c r="M540" s="3"/>
    </row>
    <row r="541">
      <c r="A541" s="3"/>
      <c r="M541" s="3"/>
    </row>
    <row r="542">
      <c r="A542" s="3"/>
      <c r="M542" s="3"/>
    </row>
    <row r="543">
      <c r="A543" s="3"/>
      <c r="M543" s="3"/>
    </row>
    <row r="544">
      <c r="A544" s="3"/>
      <c r="M544" s="3"/>
    </row>
    <row r="545">
      <c r="A545" s="3"/>
      <c r="M545" s="3"/>
    </row>
    <row r="546">
      <c r="A546" s="3"/>
      <c r="M546" s="3"/>
    </row>
    <row r="547">
      <c r="A547" s="3"/>
      <c r="M547" s="3"/>
    </row>
    <row r="548">
      <c r="A548" s="3"/>
      <c r="M548" s="3"/>
    </row>
    <row r="549">
      <c r="A549" s="3"/>
      <c r="M549" s="3"/>
    </row>
    <row r="550">
      <c r="A550" s="3"/>
      <c r="M550" s="3"/>
    </row>
    <row r="551">
      <c r="A551" s="3"/>
      <c r="M551" s="3"/>
    </row>
    <row r="552">
      <c r="A552" s="3"/>
      <c r="M552" s="3"/>
    </row>
    <row r="553">
      <c r="A553" s="3"/>
      <c r="M553" s="3"/>
    </row>
    <row r="554">
      <c r="A554" s="3"/>
      <c r="M554" s="3"/>
    </row>
    <row r="555">
      <c r="A555" s="3"/>
      <c r="M555" s="3"/>
    </row>
    <row r="556">
      <c r="A556" s="3"/>
      <c r="M556" s="3"/>
    </row>
    <row r="557">
      <c r="A557" s="3"/>
      <c r="M557" s="3"/>
    </row>
    <row r="558">
      <c r="A558" s="3"/>
      <c r="M558" s="3"/>
    </row>
    <row r="559">
      <c r="A559" s="3"/>
      <c r="M559" s="3"/>
    </row>
    <row r="560">
      <c r="A560" s="3"/>
      <c r="M560" s="3"/>
    </row>
    <row r="561">
      <c r="A561" s="3"/>
      <c r="M561" s="3"/>
    </row>
    <row r="562">
      <c r="A562" s="3"/>
      <c r="M562" s="3"/>
    </row>
    <row r="563">
      <c r="A563" s="3"/>
      <c r="M563" s="3"/>
    </row>
    <row r="564">
      <c r="A564" s="3"/>
      <c r="M564" s="3"/>
    </row>
    <row r="565">
      <c r="A565" s="3"/>
      <c r="M565" s="3"/>
    </row>
    <row r="566">
      <c r="A566" s="3"/>
      <c r="M566" s="3"/>
    </row>
    <row r="567">
      <c r="A567" s="3"/>
      <c r="M567" s="3"/>
    </row>
    <row r="568">
      <c r="A568" s="3"/>
      <c r="M568" s="3"/>
    </row>
    <row r="569">
      <c r="A569" s="3"/>
      <c r="M569" s="3"/>
    </row>
    <row r="570">
      <c r="A570" s="3"/>
      <c r="M570" s="3"/>
    </row>
    <row r="571">
      <c r="A571" s="3"/>
      <c r="M571" s="3"/>
    </row>
    <row r="572">
      <c r="A572" s="3"/>
      <c r="M572" s="3"/>
    </row>
    <row r="573">
      <c r="A573" s="3"/>
      <c r="M573" s="3"/>
    </row>
    <row r="574">
      <c r="A574" s="3"/>
      <c r="M574" s="3"/>
    </row>
    <row r="575">
      <c r="A575" s="3"/>
      <c r="M575" s="3"/>
    </row>
    <row r="576">
      <c r="A576" s="3"/>
      <c r="M576" s="3"/>
    </row>
    <row r="577">
      <c r="A577" s="3"/>
      <c r="M577" s="3"/>
    </row>
    <row r="578">
      <c r="A578" s="3"/>
      <c r="M578" s="3"/>
    </row>
    <row r="579">
      <c r="A579" s="3"/>
      <c r="M579" s="3"/>
    </row>
    <row r="580">
      <c r="A580" s="3"/>
      <c r="M580" s="3"/>
    </row>
    <row r="581">
      <c r="A581" s="3"/>
      <c r="M581" s="3"/>
    </row>
    <row r="582">
      <c r="A582" s="3"/>
      <c r="M582" s="3"/>
    </row>
    <row r="583">
      <c r="A583" s="3"/>
      <c r="M583" s="3"/>
    </row>
    <row r="584">
      <c r="A584" s="3"/>
      <c r="M584" s="3"/>
    </row>
    <row r="585">
      <c r="A585" s="3"/>
      <c r="M585" s="3"/>
    </row>
    <row r="586">
      <c r="A586" s="3"/>
      <c r="M586" s="3"/>
    </row>
    <row r="587">
      <c r="A587" s="3"/>
      <c r="M587" s="3"/>
    </row>
    <row r="588">
      <c r="A588" s="3"/>
      <c r="M588" s="3"/>
    </row>
    <row r="589">
      <c r="A589" s="3"/>
      <c r="M589" s="3"/>
    </row>
    <row r="590">
      <c r="A590" s="3"/>
      <c r="M590" s="3"/>
    </row>
    <row r="591">
      <c r="A591" s="3"/>
      <c r="M591" s="3"/>
    </row>
    <row r="592">
      <c r="A592" s="3"/>
      <c r="M592" s="3"/>
    </row>
    <row r="593">
      <c r="A593" s="3"/>
      <c r="M593" s="3"/>
    </row>
    <row r="594">
      <c r="A594" s="3"/>
      <c r="M594" s="3"/>
    </row>
    <row r="595">
      <c r="A595" s="3"/>
      <c r="M595" s="3"/>
    </row>
    <row r="596">
      <c r="A596" s="3"/>
      <c r="M596" s="3"/>
    </row>
    <row r="597">
      <c r="A597" s="3"/>
      <c r="M597" s="3"/>
    </row>
    <row r="598">
      <c r="A598" s="3"/>
      <c r="M598" s="3"/>
    </row>
    <row r="599">
      <c r="A599" s="3"/>
      <c r="M599" s="3"/>
    </row>
    <row r="600">
      <c r="A600" s="3"/>
      <c r="M600" s="3"/>
    </row>
    <row r="601">
      <c r="A601" s="3"/>
      <c r="M601" s="3"/>
    </row>
    <row r="602">
      <c r="A602" s="3"/>
      <c r="M602" s="3"/>
    </row>
    <row r="603">
      <c r="A603" s="3"/>
      <c r="M603" s="3"/>
    </row>
    <row r="604">
      <c r="A604" s="3"/>
      <c r="M604" s="3"/>
    </row>
    <row r="605">
      <c r="A605" s="3"/>
      <c r="M605" s="3"/>
    </row>
    <row r="606">
      <c r="A606" s="3"/>
      <c r="M606" s="3"/>
    </row>
    <row r="607">
      <c r="A607" s="3"/>
      <c r="M607" s="3"/>
    </row>
    <row r="608">
      <c r="A608" s="3"/>
      <c r="M608" s="3"/>
    </row>
    <row r="609">
      <c r="A609" s="3"/>
      <c r="M609" s="3"/>
    </row>
    <row r="610">
      <c r="A610" s="3"/>
      <c r="M610" s="3"/>
    </row>
    <row r="611">
      <c r="A611" s="3"/>
      <c r="M611" s="3"/>
    </row>
    <row r="612">
      <c r="A612" s="3"/>
      <c r="M612" s="3"/>
    </row>
    <row r="613">
      <c r="A613" s="3"/>
      <c r="M613" s="3"/>
    </row>
    <row r="614">
      <c r="A614" s="3"/>
      <c r="M614" s="3"/>
    </row>
    <row r="615">
      <c r="A615" s="3"/>
      <c r="M615" s="3"/>
    </row>
    <row r="616">
      <c r="A616" s="3"/>
      <c r="M616" s="3"/>
    </row>
    <row r="617">
      <c r="A617" s="3"/>
      <c r="M617" s="3"/>
    </row>
    <row r="618">
      <c r="A618" s="3"/>
      <c r="M618" s="3"/>
    </row>
    <row r="619">
      <c r="A619" s="3"/>
      <c r="M619" s="3"/>
    </row>
    <row r="620">
      <c r="A620" s="3"/>
      <c r="M620" s="3"/>
    </row>
    <row r="621">
      <c r="A621" s="3"/>
      <c r="M621" s="3"/>
    </row>
    <row r="622">
      <c r="A622" s="3"/>
      <c r="M622" s="3"/>
    </row>
    <row r="623">
      <c r="A623" s="3"/>
      <c r="M623" s="3"/>
    </row>
    <row r="624">
      <c r="A624" s="3"/>
      <c r="M624" s="3"/>
    </row>
    <row r="625">
      <c r="A625" s="3"/>
      <c r="M625" s="3"/>
    </row>
    <row r="626">
      <c r="A626" s="3"/>
      <c r="M626" s="3"/>
    </row>
    <row r="627">
      <c r="A627" s="3"/>
      <c r="M627" s="3"/>
    </row>
    <row r="628">
      <c r="A628" s="3"/>
      <c r="M628" s="3"/>
    </row>
    <row r="629">
      <c r="A629" s="3"/>
      <c r="M629" s="3"/>
    </row>
    <row r="630">
      <c r="A630" s="3"/>
      <c r="M630" s="3"/>
    </row>
    <row r="631">
      <c r="A631" s="3"/>
      <c r="M631" s="3"/>
    </row>
    <row r="632">
      <c r="A632" s="3"/>
      <c r="M632" s="3"/>
    </row>
    <row r="633">
      <c r="A633" s="3"/>
      <c r="M633" s="3"/>
    </row>
    <row r="634">
      <c r="A634" s="3"/>
      <c r="M634" s="3"/>
    </row>
    <row r="635">
      <c r="A635" s="3"/>
      <c r="M635" s="3"/>
    </row>
    <row r="636">
      <c r="A636" s="3"/>
      <c r="M636" s="3"/>
    </row>
    <row r="637">
      <c r="A637" s="3"/>
      <c r="M637" s="3"/>
    </row>
    <row r="638">
      <c r="A638" s="3"/>
      <c r="M638" s="3"/>
    </row>
    <row r="639">
      <c r="A639" s="3"/>
      <c r="M639" s="3"/>
    </row>
    <row r="640">
      <c r="A640" s="3"/>
      <c r="M640" s="3"/>
    </row>
    <row r="641">
      <c r="A641" s="3"/>
      <c r="M641" s="3"/>
    </row>
    <row r="642">
      <c r="A642" s="3"/>
      <c r="M642" s="3"/>
    </row>
    <row r="643">
      <c r="A643" s="3"/>
      <c r="M643" s="3"/>
    </row>
    <row r="644">
      <c r="A644" s="3"/>
      <c r="M644" s="3"/>
    </row>
    <row r="645">
      <c r="A645" s="3"/>
      <c r="M645" s="3"/>
    </row>
    <row r="646">
      <c r="A646" s="3"/>
      <c r="M646" s="3"/>
    </row>
    <row r="647">
      <c r="A647" s="3"/>
      <c r="M647" s="3"/>
    </row>
    <row r="648">
      <c r="A648" s="3"/>
      <c r="M648" s="3"/>
    </row>
    <row r="649">
      <c r="A649" s="3"/>
      <c r="M649" s="3"/>
    </row>
    <row r="650">
      <c r="A650" s="3"/>
      <c r="M650" s="3"/>
    </row>
    <row r="651">
      <c r="A651" s="3"/>
      <c r="M651" s="3"/>
    </row>
    <row r="652">
      <c r="A652" s="3"/>
      <c r="M652" s="3"/>
    </row>
    <row r="653">
      <c r="A653" s="3"/>
      <c r="M653" s="3"/>
    </row>
    <row r="654">
      <c r="A654" s="3"/>
      <c r="M654" s="3"/>
    </row>
    <row r="655">
      <c r="A655" s="3"/>
      <c r="M655" s="3"/>
    </row>
    <row r="656">
      <c r="A656" s="3"/>
      <c r="M656" s="3"/>
    </row>
    <row r="657">
      <c r="A657" s="3"/>
      <c r="M657" s="3"/>
    </row>
    <row r="658">
      <c r="A658" s="3"/>
      <c r="M658" s="3"/>
    </row>
    <row r="659">
      <c r="A659" s="3"/>
      <c r="M659" s="3"/>
    </row>
    <row r="660">
      <c r="A660" s="3"/>
      <c r="M660" s="3"/>
    </row>
    <row r="661">
      <c r="A661" s="3"/>
      <c r="M661" s="3"/>
    </row>
    <row r="662">
      <c r="A662" s="3"/>
      <c r="M662" s="3"/>
    </row>
    <row r="663">
      <c r="A663" s="3"/>
      <c r="M663" s="3"/>
    </row>
    <row r="664">
      <c r="A664" s="3"/>
      <c r="M664" s="3"/>
    </row>
    <row r="665">
      <c r="A665" s="3"/>
      <c r="M665" s="3"/>
    </row>
    <row r="666">
      <c r="A666" s="3"/>
      <c r="M666" s="3"/>
    </row>
    <row r="667">
      <c r="A667" s="3"/>
      <c r="M667" s="3"/>
    </row>
    <row r="668">
      <c r="A668" s="3"/>
      <c r="M668" s="3"/>
    </row>
    <row r="669">
      <c r="A669" s="3"/>
      <c r="M669" s="3"/>
    </row>
    <row r="670">
      <c r="A670" s="3"/>
      <c r="M670" s="3"/>
    </row>
    <row r="671">
      <c r="A671" s="3"/>
      <c r="M671" s="3"/>
    </row>
    <row r="672">
      <c r="A672" s="3"/>
      <c r="M672" s="3"/>
    </row>
    <row r="673">
      <c r="A673" s="3"/>
      <c r="M673" s="3"/>
    </row>
    <row r="674">
      <c r="A674" s="3"/>
      <c r="M674" s="3"/>
    </row>
    <row r="675">
      <c r="A675" s="3"/>
      <c r="M675" s="3"/>
    </row>
    <row r="676">
      <c r="A676" s="3"/>
      <c r="M676" s="3"/>
    </row>
    <row r="677">
      <c r="A677" s="3"/>
      <c r="M677" s="3"/>
    </row>
    <row r="678">
      <c r="A678" s="3"/>
      <c r="M678" s="3"/>
    </row>
    <row r="679">
      <c r="A679" s="3"/>
      <c r="M679" s="3"/>
    </row>
    <row r="680">
      <c r="A680" s="3"/>
      <c r="M680" s="3"/>
    </row>
    <row r="681">
      <c r="A681" s="3"/>
      <c r="M681" s="3"/>
    </row>
    <row r="682">
      <c r="A682" s="3"/>
      <c r="M682" s="3"/>
    </row>
    <row r="683">
      <c r="A683" s="3"/>
      <c r="M683" s="3"/>
    </row>
    <row r="684">
      <c r="A684" s="3"/>
      <c r="M684" s="3"/>
    </row>
    <row r="685">
      <c r="A685" s="3"/>
      <c r="M685" s="3"/>
    </row>
    <row r="686">
      <c r="A686" s="3"/>
      <c r="M686" s="3"/>
    </row>
    <row r="687">
      <c r="A687" s="3"/>
      <c r="M687" s="3"/>
    </row>
    <row r="688">
      <c r="A688" s="3"/>
      <c r="M688" s="3"/>
    </row>
    <row r="689">
      <c r="A689" s="3"/>
      <c r="M689" s="3"/>
    </row>
    <row r="690">
      <c r="A690" s="3"/>
      <c r="M690" s="3"/>
    </row>
    <row r="691">
      <c r="A691" s="3"/>
      <c r="M691" s="3"/>
    </row>
    <row r="692">
      <c r="A692" s="3"/>
      <c r="M692" s="3"/>
    </row>
    <row r="693">
      <c r="A693" s="3"/>
      <c r="M693" s="3"/>
    </row>
    <row r="694">
      <c r="A694" s="3"/>
      <c r="M694" s="3"/>
    </row>
    <row r="695">
      <c r="A695" s="3"/>
      <c r="M695" s="3"/>
    </row>
    <row r="696">
      <c r="A696" s="3"/>
      <c r="M696" s="3"/>
    </row>
    <row r="697">
      <c r="A697" s="3"/>
      <c r="M697" s="3"/>
    </row>
    <row r="698">
      <c r="A698" s="3"/>
      <c r="M698" s="3"/>
    </row>
    <row r="699">
      <c r="A699" s="3"/>
      <c r="M699" s="3"/>
    </row>
    <row r="700">
      <c r="A700" s="3"/>
      <c r="M700" s="3"/>
    </row>
    <row r="701">
      <c r="A701" s="3"/>
      <c r="M701" s="3"/>
    </row>
    <row r="702">
      <c r="A702" s="3"/>
      <c r="M702" s="3"/>
    </row>
    <row r="703">
      <c r="A703" s="3"/>
      <c r="M703" s="3"/>
    </row>
    <row r="704">
      <c r="A704" s="3"/>
      <c r="M704" s="3"/>
    </row>
    <row r="705">
      <c r="A705" s="3"/>
      <c r="M705" s="3"/>
    </row>
    <row r="706">
      <c r="A706" s="3"/>
      <c r="M706" s="3"/>
    </row>
    <row r="707">
      <c r="A707" s="3"/>
      <c r="M707" s="3"/>
    </row>
    <row r="708">
      <c r="A708" s="3"/>
      <c r="M708" s="3"/>
    </row>
    <row r="709">
      <c r="A709" s="3"/>
      <c r="M709" s="3"/>
    </row>
    <row r="710">
      <c r="A710" s="3"/>
      <c r="M710" s="3"/>
    </row>
    <row r="711">
      <c r="A711" s="3"/>
      <c r="M711" s="3"/>
    </row>
    <row r="712">
      <c r="A712" s="3"/>
      <c r="M712" s="3"/>
    </row>
    <row r="713">
      <c r="A713" s="3"/>
      <c r="M713" s="3"/>
    </row>
    <row r="714">
      <c r="A714" s="3"/>
      <c r="M714" s="3"/>
    </row>
    <row r="715">
      <c r="A715" s="3"/>
      <c r="M715" s="3"/>
    </row>
    <row r="716">
      <c r="A716" s="3"/>
      <c r="M716" s="3"/>
    </row>
    <row r="717">
      <c r="A717" s="3"/>
      <c r="M717" s="3"/>
    </row>
    <row r="718">
      <c r="A718" s="3"/>
      <c r="M718" s="3"/>
    </row>
    <row r="719">
      <c r="A719" s="3"/>
      <c r="M719" s="3"/>
    </row>
    <row r="720">
      <c r="A720" s="3"/>
      <c r="M720" s="3"/>
    </row>
    <row r="721">
      <c r="A721" s="3"/>
      <c r="M721" s="3"/>
    </row>
    <row r="722">
      <c r="A722" s="3"/>
      <c r="M722" s="3"/>
    </row>
    <row r="723">
      <c r="A723" s="3"/>
      <c r="M723" s="3"/>
    </row>
    <row r="724">
      <c r="A724" s="3"/>
      <c r="M724" s="3"/>
    </row>
    <row r="725">
      <c r="A725" s="3"/>
      <c r="M725" s="3"/>
    </row>
    <row r="726">
      <c r="A726" s="3"/>
      <c r="M726" s="3"/>
    </row>
    <row r="727">
      <c r="A727" s="3"/>
      <c r="M727" s="3"/>
    </row>
    <row r="728">
      <c r="A728" s="3"/>
      <c r="M728" s="3"/>
    </row>
    <row r="729">
      <c r="A729" s="3"/>
      <c r="M729" s="3"/>
    </row>
    <row r="730">
      <c r="A730" s="3"/>
      <c r="M730" s="3"/>
    </row>
    <row r="731">
      <c r="A731" s="3"/>
      <c r="M731" s="3"/>
    </row>
    <row r="732">
      <c r="A732" s="3"/>
      <c r="M732" s="3"/>
    </row>
    <row r="733">
      <c r="A733" s="3"/>
      <c r="M733" s="3"/>
    </row>
    <row r="734">
      <c r="A734" s="3"/>
      <c r="M734" s="3"/>
    </row>
    <row r="735">
      <c r="A735" s="3"/>
      <c r="M735" s="3"/>
    </row>
    <row r="736">
      <c r="A736" s="3"/>
      <c r="M736" s="3"/>
    </row>
    <row r="737">
      <c r="A737" s="3"/>
      <c r="M737" s="3"/>
    </row>
    <row r="738">
      <c r="A738" s="3"/>
      <c r="M738" s="3"/>
    </row>
    <row r="739">
      <c r="A739" s="3"/>
      <c r="M739" s="3"/>
    </row>
    <row r="740">
      <c r="A740" s="3"/>
      <c r="M740" s="3"/>
    </row>
    <row r="741">
      <c r="A741" s="3"/>
      <c r="M741" s="3"/>
    </row>
    <row r="742">
      <c r="A742" s="3"/>
      <c r="M742" s="3"/>
    </row>
    <row r="743">
      <c r="A743" s="3"/>
      <c r="M743" s="3"/>
    </row>
    <row r="744">
      <c r="A744" s="3"/>
      <c r="M744" s="3"/>
    </row>
    <row r="745">
      <c r="A745" s="3"/>
      <c r="M745" s="3"/>
    </row>
    <row r="746">
      <c r="A746" s="3"/>
      <c r="M746" s="3"/>
    </row>
    <row r="747">
      <c r="A747" s="3"/>
      <c r="M747" s="3"/>
    </row>
    <row r="748">
      <c r="A748" s="3"/>
      <c r="M748" s="3"/>
    </row>
    <row r="749">
      <c r="A749" s="3"/>
      <c r="M749" s="3"/>
    </row>
    <row r="750">
      <c r="A750" s="3"/>
      <c r="M750" s="3"/>
    </row>
    <row r="751">
      <c r="A751" s="3"/>
      <c r="M751" s="3"/>
    </row>
    <row r="752">
      <c r="A752" s="3"/>
      <c r="M752" s="3"/>
    </row>
    <row r="753">
      <c r="A753" s="3"/>
      <c r="M753" s="3"/>
    </row>
    <row r="754">
      <c r="A754" s="3"/>
      <c r="M754" s="3"/>
    </row>
    <row r="755">
      <c r="A755" s="3"/>
      <c r="M755" s="3"/>
    </row>
    <row r="756">
      <c r="A756" s="3"/>
      <c r="M756" s="3"/>
    </row>
    <row r="757">
      <c r="A757" s="3"/>
      <c r="M757" s="3"/>
    </row>
    <row r="758">
      <c r="A758" s="3"/>
      <c r="M758" s="3"/>
    </row>
    <row r="759">
      <c r="A759" s="3"/>
      <c r="M759" s="3"/>
    </row>
    <row r="760">
      <c r="A760" s="3"/>
      <c r="M760" s="3"/>
    </row>
    <row r="761">
      <c r="A761" s="3"/>
      <c r="M761" s="3"/>
    </row>
    <row r="762">
      <c r="A762" s="3"/>
      <c r="M762" s="3"/>
    </row>
    <row r="763">
      <c r="A763" s="3"/>
      <c r="M763" s="3"/>
    </row>
    <row r="764">
      <c r="A764" s="3"/>
      <c r="M764" s="3"/>
    </row>
    <row r="765">
      <c r="A765" s="3"/>
      <c r="M765" s="3"/>
    </row>
    <row r="766">
      <c r="A766" s="3"/>
      <c r="M766" s="3"/>
    </row>
    <row r="767">
      <c r="A767" s="3"/>
      <c r="M767" s="3"/>
    </row>
    <row r="768">
      <c r="A768" s="3"/>
      <c r="M768" s="3"/>
    </row>
    <row r="769">
      <c r="A769" s="3"/>
      <c r="M769" s="3"/>
    </row>
    <row r="770">
      <c r="A770" s="3"/>
      <c r="M770" s="3"/>
    </row>
    <row r="771">
      <c r="A771" s="3"/>
      <c r="M771" s="3"/>
    </row>
    <row r="772">
      <c r="A772" s="3"/>
      <c r="M772" s="3"/>
    </row>
    <row r="773">
      <c r="A773" s="3"/>
      <c r="M773" s="3"/>
    </row>
    <row r="774">
      <c r="A774" s="3"/>
      <c r="M774" s="3"/>
    </row>
    <row r="775">
      <c r="A775" s="3"/>
      <c r="M775" s="3"/>
    </row>
    <row r="776">
      <c r="A776" s="3"/>
      <c r="M776" s="3"/>
    </row>
    <row r="777">
      <c r="A777" s="3"/>
      <c r="M777" s="3"/>
    </row>
    <row r="778">
      <c r="A778" s="3"/>
      <c r="M778" s="3"/>
    </row>
    <row r="779">
      <c r="A779" s="3"/>
      <c r="M779" s="3"/>
    </row>
    <row r="780">
      <c r="A780" s="3"/>
      <c r="M780" s="3"/>
    </row>
    <row r="781">
      <c r="A781" s="3"/>
      <c r="M781" s="3"/>
    </row>
    <row r="782">
      <c r="A782" s="3"/>
      <c r="M782" s="3"/>
    </row>
    <row r="783">
      <c r="A783" s="3"/>
      <c r="M783" s="3"/>
    </row>
    <row r="784">
      <c r="A784" s="3"/>
      <c r="M784" s="3"/>
    </row>
    <row r="785">
      <c r="A785" s="3"/>
      <c r="M785" s="3"/>
    </row>
    <row r="786">
      <c r="A786" s="3"/>
      <c r="M786" s="3"/>
    </row>
    <row r="787">
      <c r="A787" s="3"/>
      <c r="M787" s="3"/>
    </row>
    <row r="788">
      <c r="A788" s="3"/>
      <c r="M788" s="3"/>
    </row>
    <row r="789">
      <c r="A789" s="3"/>
      <c r="M789" s="3"/>
    </row>
    <row r="790">
      <c r="A790" s="3"/>
      <c r="M790" s="3"/>
    </row>
    <row r="791">
      <c r="A791" s="3"/>
      <c r="M791" s="3"/>
    </row>
    <row r="792">
      <c r="A792" s="3"/>
      <c r="M792" s="3"/>
    </row>
    <row r="793">
      <c r="A793" s="3"/>
      <c r="M793" s="3"/>
    </row>
    <row r="794">
      <c r="A794" s="3"/>
      <c r="M794" s="3"/>
    </row>
    <row r="795">
      <c r="A795" s="3"/>
      <c r="M795" s="3"/>
    </row>
    <row r="796">
      <c r="A796" s="3"/>
      <c r="M796" s="3"/>
    </row>
    <row r="797">
      <c r="A797" s="3"/>
      <c r="M797" s="3"/>
    </row>
    <row r="798">
      <c r="A798" s="3"/>
      <c r="M798" s="3"/>
    </row>
    <row r="799">
      <c r="A799" s="3"/>
      <c r="M799" s="3"/>
    </row>
    <row r="800">
      <c r="A800" s="3"/>
      <c r="M800" s="3"/>
    </row>
    <row r="801">
      <c r="A801" s="3"/>
      <c r="M801" s="3"/>
    </row>
    <row r="802">
      <c r="A802" s="3"/>
      <c r="M802" s="3"/>
    </row>
    <row r="803">
      <c r="A803" s="3"/>
      <c r="M803" s="3"/>
    </row>
    <row r="804">
      <c r="A804" s="3"/>
      <c r="M804" s="3"/>
    </row>
    <row r="805">
      <c r="A805" s="3"/>
      <c r="M805" s="3"/>
    </row>
    <row r="806">
      <c r="A806" s="3"/>
      <c r="M806" s="3"/>
    </row>
    <row r="807">
      <c r="A807" s="3"/>
      <c r="M807" s="3"/>
    </row>
    <row r="808">
      <c r="A808" s="3"/>
      <c r="M808" s="3"/>
    </row>
    <row r="809">
      <c r="A809" s="3"/>
      <c r="M809" s="3"/>
    </row>
    <row r="810">
      <c r="A810" s="3"/>
      <c r="M810" s="3"/>
    </row>
    <row r="811">
      <c r="A811" s="3"/>
      <c r="M811" s="3"/>
    </row>
    <row r="812">
      <c r="A812" s="3"/>
      <c r="M812" s="3"/>
    </row>
    <row r="813">
      <c r="A813" s="3"/>
      <c r="M813" s="3"/>
    </row>
    <row r="814">
      <c r="A814" s="3"/>
      <c r="M814" s="3"/>
    </row>
    <row r="815">
      <c r="A815" s="3"/>
      <c r="M815" s="3"/>
    </row>
    <row r="816">
      <c r="A816" s="3"/>
      <c r="M816" s="3"/>
    </row>
    <row r="817">
      <c r="A817" s="3"/>
      <c r="M817" s="3"/>
    </row>
    <row r="818">
      <c r="A818" s="3"/>
      <c r="M818" s="3"/>
    </row>
    <row r="819">
      <c r="A819" s="3"/>
      <c r="M819" s="3"/>
    </row>
    <row r="820">
      <c r="A820" s="3"/>
      <c r="M820" s="3"/>
    </row>
    <row r="821">
      <c r="A821" s="3"/>
      <c r="M821" s="3"/>
    </row>
    <row r="822">
      <c r="A822" s="3"/>
      <c r="M822" s="3"/>
    </row>
    <row r="823">
      <c r="A823" s="3"/>
      <c r="M823" s="3"/>
    </row>
    <row r="824">
      <c r="A824" s="3"/>
      <c r="M824" s="3"/>
    </row>
    <row r="825">
      <c r="A825" s="3"/>
      <c r="M825" s="3"/>
    </row>
    <row r="826">
      <c r="A826" s="3"/>
      <c r="M826" s="3"/>
    </row>
    <row r="827">
      <c r="A827" s="3"/>
      <c r="M827" s="3"/>
    </row>
    <row r="828">
      <c r="A828" s="3"/>
      <c r="M828" s="3"/>
    </row>
    <row r="829">
      <c r="A829" s="3"/>
      <c r="M829" s="3"/>
    </row>
    <row r="830">
      <c r="A830" s="3"/>
      <c r="M830" s="3"/>
    </row>
    <row r="831">
      <c r="A831" s="3"/>
      <c r="M831" s="3"/>
    </row>
    <row r="832">
      <c r="A832" s="3"/>
      <c r="M832" s="3"/>
    </row>
    <row r="833">
      <c r="A833" s="3"/>
      <c r="M833" s="3"/>
    </row>
    <row r="834">
      <c r="A834" s="3"/>
      <c r="M834" s="3"/>
    </row>
    <row r="835">
      <c r="A835" s="3"/>
      <c r="M835" s="3"/>
    </row>
    <row r="836">
      <c r="A836" s="3"/>
      <c r="M836" s="3"/>
    </row>
    <row r="837">
      <c r="A837" s="3"/>
      <c r="M837" s="3"/>
    </row>
    <row r="838">
      <c r="A838" s="3"/>
      <c r="M838" s="3"/>
    </row>
    <row r="839">
      <c r="A839" s="3"/>
      <c r="M839" s="3"/>
    </row>
    <row r="840">
      <c r="A840" s="3"/>
      <c r="M840" s="3"/>
    </row>
    <row r="841">
      <c r="A841" s="3"/>
      <c r="M841" s="3"/>
    </row>
    <row r="842">
      <c r="A842" s="3"/>
      <c r="M842" s="3"/>
    </row>
    <row r="843">
      <c r="A843" s="3"/>
      <c r="M843" s="3"/>
    </row>
    <row r="844">
      <c r="A844" s="3"/>
      <c r="M844" s="3"/>
    </row>
    <row r="845">
      <c r="A845" s="3"/>
      <c r="M845" s="3"/>
    </row>
    <row r="846">
      <c r="A846" s="3"/>
      <c r="M846" s="3"/>
    </row>
    <row r="847">
      <c r="A847" s="3"/>
      <c r="M847" s="3"/>
    </row>
    <row r="848">
      <c r="A848" s="3"/>
      <c r="M84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28" t="s">
        <v>20</v>
      </c>
      <c r="B5" s="28" t="s">
        <v>36</v>
      </c>
      <c r="C5" s="29"/>
      <c r="D5" s="28" t="s">
        <v>37</v>
      </c>
      <c r="E5" s="29"/>
      <c r="F5" s="29"/>
      <c r="G5" s="28" t="s">
        <v>38</v>
      </c>
      <c r="H5" s="29"/>
      <c r="I5" s="29"/>
      <c r="J5" s="29"/>
      <c r="K5" s="29"/>
      <c r="L5" s="29"/>
      <c r="M5" s="29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/>
      <c r="B6" s="17"/>
      <c r="C6" s="17" t="s">
        <v>39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30"/>
      <c r="B7" s="17"/>
      <c r="C7" s="31">
        <v>0.01635</v>
      </c>
      <c r="D7" s="32"/>
      <c r="E7" s="17"/>
      <c r="F7" s="33"/>
      <c r="G7" s="17"/>
      <c r="H7" s="17"/>
      <c r="I7" s="17"/>
      <c r="J7" s="34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17" t="s">
        <v>40</v>
      </c>
      <c r="C8" s="17"/>
      <c r="D8" s="17"/>
      <c r="E8" s="17"/>
      <c r="F8" s="17"/>
      <c r="G8" s="17"/>
      <c r="H8" s="17"/>
      <c r="I8" s="17"/>
      <c r="J8" s="17"/>
      <c r="K8" s="17"/>
      <c r="L8" s="35" t="s">
        <v>23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/>
      <c r="B9" s="17" t="s">
        <v>2</v>
      </c>
      <c r="C9" s="17" t="s">
        <v>3</v>
      </c>
      <c r="D9" s="17" t="s">
        <v>4</v>
      </c>
      <c r="E9" s="17" t="s">
        <v>5</v>
      </c>
      <c r="F9" s="17" t="s">
        <v>6</v>
      </c>
      <c r="G9" s="17" t="s">
        <v>7</v>
      </c>
      <c r="H9" s="17" t="s">
        <v>8</v>
      </c>
      <c r="I9" s="17" t="s">
        <v>9</v>
      </c>
      <c r="J9" s="17" t="s">
        <v>10</v>
      </c>
      <c r="K9" s="17" t="s">
        <v>11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30" t="s">
        <v>41</v>
      </c>
      <c r="B10" s="36">
        <v>999927.0</v>
      </c>
      <c r="C10" s="36">
        <v>999910.0</v>
      </c>
      <c r="D10" s="36">
        <v>999951.0</v>
      </c>
      <c r="E10" s="36">
        <v>999896.0</v>
      </c>
      <c r="F10" s="36">
        <v>999873.0</v>
      </c>
      <c r="G10" s="36">
        <v>999926.0</v>
      </c>
      <c r="H10" s="36">
        <v>999921.0</v>
      </c>
      <c r="I10" s="36">
        <v>999904.0</v>
      </c>
      <c r="J10" s="36">
        <v>999891.0</v>
      </c>
      <c r="K10" s="36">
        <v>999899.0</v>
      </c>
      <c r="L10" s="37">
        <f>AVERAGE(B12:K12)</f>
        <v>3.638505566</v>
      </c>
      <c r="M10" s="38" t="s">
        <v>13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30" t="s">
        <v>42</v>
      </c>
      <c r="B11" s="39">
        <v>941804.0</v>
      </c>
      <c r="C11" s="39">
        <v>942055.0</v>
      </c>
      <c r="D11" s="39">
        <v>942237.0</v>
      </c>
      <c r="E11" s="39">
        <v>942267.0</v>
      </c>
      <c r="F11" s="39">
        <v>942314.0</v>
      </c>
      <c r="G11" s="39">
        <v>942240.0</v>
      </c>
      <c r="H11" s="39">
        <v>942247.0</v>
      </c>
      <c r="I11" s="39">
        <v>941793.0</v>
      </c>
      <c r="J11" s="39">
        <v>942094.0</v>
      </c>
      <c r="K11" s="39">
        <v>942553.0</v>
      </c>
      <c r="L11" s="32">
        <f>SUM(B13:K13)/(10-1)</f>
        <v>0.000237265265</v>
      </c>
      <c r="M11" s="30" t="s">
        <v>15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38" t="s">
        <v>43</v>
      </c>
      <c r="B12" s="40">
        <f t="shared" ref="B12:K12" si="1">(-LN(B11/B10))/$C7</f>
        <v>3.662696717</v>
      </c>
      <c r="C12" s="40">
        <f t="shared" si="1"/>
        <v>3.645358755</v>
      </c>
      <c r="D12" s="40">
        <f t="shared" si="1"/>
        <v>3.636051529</v>
      </c>
      <c r="E12" s="40">
        <f t="shared" si="1"/>
        <v>3.630740041</v>
      </c>
      <c r="F12" s="40">
        <f t="shared" si="1"/>
        <v>3.62628248</v>
      </c>
      <c r="G12" s="40">
        <f t="shared" si="1"/>
        <v>3.634327648</v>
      </c>
      <c r="H12" s="40">
        <f t="shared" si="1"/>
        <v>3.633567437</v>
      </c>
      <c r="I12" s="40">
        <f t="shared" si="1"/>
        <v>3.66200423</v>
      </c>
      <c r="J12" s="40">
        <f t="shared" si="1"/>
        <v>3.641664572</v>
      </c>
      <c r="K12" s="40">
        <f t="shared" si="1"/>
        <v>3.612362246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30" t="s">
        <v>14</v>
      </c>
      <c r="B13" s="13">
        <f t="shared" ref="B13:K13" si="2">(B12-$L10)^2</f>
        <v>0.0005852118312</v>
      </c>
      <c r="C13" s="13">
        <f t="shared" si="2"/>
        <v>0.00004696620865</v>
      </c>
      <c r="D13" s="13">
        <f t="shared" si="2"/>
        <v>0.000006022297422</v>
      </c>
      <c r="E13" s="13">
        <f t="shared" si="2"/>
        <v>0.00006030337366</v>
      </c>
      <c r="F13" s="13">
        <f t="shared" si="2"/>
        <v>0.000149403817</v>
      </c>
      <c r="G13" s="13">
        <f t="shared" si="2"/>
        <v>0.00001745499366</v>
      </c>
      <c r="H13" s="13">
        <f t="shared" si="2"/>
        <v>0.00002438511809</v>
      </c>
      <c r="I13" s="13">
        <f t="shared" si="2"/>
        <v>0.0005521872517</v>
      </c>
      <c r="J13" s="13">
        <f t="shared" si="2"/>
        <v>0.000009979323725</v>
      </c>
      <c r="K13" s="13">
        <f t="shared" si="2"/>
        <v>0.0006834731696</v>
      </c>
      <c r="L13" s="32">
        <f>SQRT(L11)</f>
        <v>0.01540341731</v>
      </c>
      <c r="M13" s="30" t="s">
        <v>16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 t="s">
        <v>44</v>
      </c>
      <c r="M14" s="41">
        <v>3.25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28" t="s">
        <v>20</v>
      </c>
      <c r="B16" s="42" t="s">
        <v>45</v>
      </c>
      <c r="C16" s="29"/>
      <c r="D16" s="28" t="s">
        <v>37</v>
      </c>
      <c r="E16" s="29"/>
      <c r="F16" s="29"/>
      <c r="G16" s="28" t="s">
        <v>46</v>
      </c>
      <c r="H16" s="29"/>
      <c r="I16" s="29"/>
      <c r="J16" s="29"/>
      <c r="K16" s="29"/>
      <c r="L16" s="29"/>
      <c r="M16" s="29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17" t="s">
        <v>39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30"/>
      <c r="B18" s="17"/>
      <c r="C18" s="31">
        <v>0.01635</v>
      </c>
      <c r="D18" s="32"/>
      <c r="E18" s="17"/>
      <c r="F18" s="33"/>
      <c r="G18" s="17"/>
      <c r="H18" s="17"/>
      <c r="I18" s="17"/>
      <c r="J18" s="34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 t="s">
        <v>40</v>
      </c>
      <c r="C19" s="17"/>
      <c r="D19" s="17"/>
      <c r="E19" s="17"/>
      <c r="F19" s="17"/>
      <c r="G19" s="17"/>
      <c r="H19" s="17"/>
      <c r="I19" s="17"/>
      <c r="J19" s="17"/>
      <c r="K19" s="17"/>
      <c r="L19" s="35" t="s">
        <v>23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 t="s">
        <v>2</v>
      </c>
      <c r="C20" s="17" t="s">
        <v>3</v>
      </c>
      <c r="D20" s="17" t="s">
        <v>4</v>
      </c>
      <c r="E20" s="17" t="s">
        <v>5</v>
      </c>
      <c r="F20" s="17" t="s">
        <v>6</v>
      </c>
      <c r="G20" s="17" t="s">
        <v>7</v>
      </c>
      <c r="H20" s="17" t="s">
        <v>8</v>
      </c>
      <c r="I20" s="17" t="s">
        <v>9</v>
      </c>
      <c r="J20" s="17" t="s">
        <v>10</v>
      </c>
      <c r="K20" s="17" t="s">
        <v>11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30" t="s">
        <v>41</v>
      </c>
      <c r="B21" s="36">
        <v>999927.0</v>
      </c>
      <c r="C21" s="36">
        <v>999910.0</v>
      </c>
      <c r="D21" s="36">
        <v>999951.0</v>
      </c>
      <c r="E21" s="36">
        <v>999896.0</v>
      </c>
      <c r="F21" s="36">
        <v>999873.0</v>
      </c>
      <c r="G21" s="36">
        <v>999926.0</v>
      </c>
      <c r="H21" s="36">
        <v>999921.0</v>
      </c>
      <c r="I21" s="36">
        <v>999904.0</v>
      </c>
      <c r="J21" s="36">
        <v>999891.0</v>
      </c>
      <c r="K21" s="36">
        <v>999899.0</v>
      </c>
      <c r="L21" s="37">
        <f>AVERAGE(B23:K23)</f>
        <v>3.726524458</v>
      </c>
      <c r="M21" s="38" t="s">
        <v>13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30" t="s">
        <v>42</v>
      </c>
      <c r="B22" s="39">
        <v>940545.0</v>
      </c>
      <c r="C22" s="39">
        <v>940946.0</v>
      </c>
      <c r="D22" s="39">
        <v>941089.0</v>
      </c>
      <c r="E22" s="39">
        <v>940577.0</v>
      </c>
      <c r="F22" s="39">
        <v>940875.0</v>
      </c>
      <c r="G22" s="39">
        <v>940706.0</v>
      </c>
      <c r="H22" s="39">
        <v>940624.0</v>
      </c>
      <c r="I22" s="39">
        <v>940699.0</v>
      </c>
      <c r="J22" s="39">
        <v>940821.0</v>
      </c>
      <c r="K22" s="39">
        <v>941173.0</v>
      </c>
      <c r="L22" s="32">
        <f>SUM(B24:K24)/(10-1)</f>
        <v>0.0001959953516</v>
      </c>
      <c r="M22" s="30" t="s">
        <v>15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38" t="s">
        <v>43</v>
      </c>
      <c r="B23" s="40">
        <f t="shared" ref="B23:K23" si="3">(-LN(B22/B21))/$C18</f>
        <v>3.74451265</v>
      </c>
      <c r="C23" s="40">
        <f t="shared" si="3"/>
        <v>3.717402003</v>
      </c>
      <c r="D23" s="40">
        <f t="shared" si="3"/>
        <v>3.710615439</v>
      </c>
      <c r="E23" s="40">
        <f t="shared" si="3"/>
        <v>3.740535586</v>
      </c>
      <c r="F23" s="40">
        <f t="shared" si="3"/>
        <v>3.719753979</v>
      </c>
      <c r="G23" s="40">
        <f t="shared" si="3"/>
        <v>3.733982817</v>
      </c>
      <c r="H23" s="40">
        <f t="shared" si="3"/>
        <v>3.739008627</v>
      </c>
      <c r="I23" s="40">
        <f t="shared" si="3"/>
        <v>3.733092259</v>
      </c>
      <c r="J23" s="40">
        <f t="shared" si="3"/>
        <v>3.724365426</v>
      </c>
      <c r="K23" s="40">
        <f t="shared" si="3"/>
        <v>3.701975793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30" t="s">
        <v>14</v>
      </c>
      <c r="B24" s="13">
        <f t="shared" ref="B24:K24" si="4">(B23-$L21)^2</f>
        <v>0.0003235750557</v>
      </c>
      <c r="C24" s="13">
        <f t="shared" si="4"/>
        <v>0.00008321918272</v>
      </c>
      <c r="D24" s="13">
        <f t="shared" si="4"/>
        <v>0.0002530968748</v>
      </c>
      <c r="E24" s="13">
        <f t="shared" si="4"/>
        <v>0.0001963117184</v>
      </c>
      <c r="F24" s="13">
        <f t="shared" si="4"/>
        <v>0.00004583938263</v>
      </c>
      <c r="G24" s="13">
        <f t="shared" si="4"/>
        <v>0.000055627117</v>
      </c>
      <c r="H24" s="13">
        <f t="shared" si="4"/>
        <v>0.0001558544674</v>
      </c>
      <c r="I24" s="13">
        <f t="shared" si="4"/>
        <v>0.00004313600864</v>
      </c>
      <c r="J24" s="13">
        <f t="shared" si="4"/>
        <v>0.000004661419014</v>
      </c>
      <c r="K24" s="13">
        <f t="shared" si="4"/>
        <v>0.0006026369378</v>
      </c>
      <c r="L24" s="32">
        <f>SQRT(L22)</f>
        <v>0.01399983398</v>
      </c>
      <c r="M24" s="30" t="s">
        <v>16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 t="s">
        <v>44</v>
      </c>
      <c r="M25" s="41">
        <v>3.25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28" t="s">
        <v>20</v>
      </c>
      <c r="B27" s="42" t="s">
        <v>47</v>
      </c>
      <c r="C27" s="29"/>
      <c r="D27" s="28" t="s">
        <v>37</v>
      </c>
      <c r="E27" s="29"/>
      <c r="F27" s="29"/>
      <c r="G27" s="28" t="s">
        <v>48</v>
      </c>
      <c r="H27" s="29"/>
      <c r="I27" s="29"/>
      <c r="J27" s="29"/>
      <c r="K27" s="29"/>
      <c r="L27" s="29"/>
      <c r="M27" s="29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 t="s">
        <v>39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30"/>
      <c r="B29" s="17"/>
      <c r="C29" s="31">
        <v>0.01635</v>
      </c>
      <c r="D29" s="32"/>
      <c r="E29" s="17"/>
      <c r="F29" s="33"/>
      <c r="G29" s="17"/>
      <c r="H29" s="17"/>
      <c r="I29" s="17"/>
      <c r="J29" s="34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 t="s">
        <v>40</v>
      </c>
      <c r="C30" s="17"/>
      <c r="D30" s="17"/>
      <c r="E30" s="17"/>
      <c r="F30" s="17"/>
      <c r="G30" s="17"/>
      <c r="H30" s="17"/>
      <c r="I30" s="17"/>
      <c r="J30" s="17"/>
      <c r="K30" s="17"/>
      <c r="L30" s="35" t="s">
        <v>23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 t="s">
        <v>2</v>
      </c>
      <c r="C31" s="17" t="s">
        <v>3</v>
      </c>
      <c r="D31" s="17" t="s">
        <v>4</v>
      </c>
      <c r="E31" s="17" t="s">
        <v>5</v>
      </c>
      <c r="F31" s="17" t="s">
        <v>6</v>
      </c>
      <c r="G31" s="17" t="s">
        <v>7</v>
      </c>
      <c r="H31" s="17" t="s">
        <v>8</v>
      </c>
      <c r="I31" s="17" t="s">
        <v>9</v>
      </c>
      <c r="J31" s="17" t="s">
        <v>10</v>
      </c>
      <c r="K31" s="17" t="s">
        <v>11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30" t="s">
        <v>41</v>
      </c>
      <c r="B32" s="36">
        <v>999927.0</v>
      </c>
      <c r="C32" s="36">
        <v>999910.0</v>
      </c>
      <c r="D32" s="36">
        <v>999951.0</v>
      </c>
      <c r="E32" s="36">
        <v>999896.0</v>
      </c>
      <c r="F32" s="36">
        <v>999873.0</v>
      </c>
      <c r="G32" s="36">
        <v>999926.0</v>
      </c>
      <c r="H32" s="36">
        <v>999921.0</v>
      </c>
      <c r="I32" s="36">
        <v>999904.0</v>
      </c>
      <c r="J32" s="36">
        <v>999891.0</v>
      </c>
      <c r="K32" s="36">
        <v>999899.0</v>
      </c>
      <c r="L32" s="37">
        <f>AVERAGE(B34:K34)</f>
        <v>3.824079576</v>
      </c>
      <c r="M32" s="38" t="s">
        <v>13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30" t="s">
        <v>42</v>
      </c>
      <c r="B33" s="39">
        <v>939785.0</v>
      </c>
      <c r="C33" s="39">
        <v>939166.0</v>
      </c>
      <c r="D33" s="39">
        <v>939516.0</v>
      </c>
      <c r="E33" s="39">
        <v>938870.0</v>
      </c>
      <c r="F33" s="39">
        <v>939030.0</v>
      </c>
      <c r="G33" s="39">
        <v>939215.0</v>
      </c>
      <c r="H33" s="39">
        <v>939447.0</v>
      </c>
      <c r="I33" s="39">
        <v>939235.0</v>
      </c>
      <c r="J33" s="39">
        <v>939236.0</v>
      </c>
      <c r="K33" s="39">
        <v>939561.0</v>
      </c>
      <c r="L33" s="32">
        <f>SUM(B35:K35)/(10-1)</f>
        <v>0.0002855208003</v>
      </c>
      <c r="M33" s="30" t="s">
        <v>15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38" t="s">
        <v>43</v>
      </c>
      <c r="B34" s="40">
        <f t="shared" ref="B34:K34" si="5">(-LN(B33/B32))/$C29</f>
        <v>3.793954166</v>
      </c>
      <c r="C34" s="40">
        <f t="shared" si="5"/>
        <v>3.833212693</v>
      </c>
      <c r="D34" s="40">
        <f t="shared" si="5"/>
        <v>3.812931421</v>
      </c>
      <c r="E34" s="40">
        <f t="shared" si="5"/>
        <v>3.851636031</v>
      </c>
      <c r="F34" s="40">
        <f t="shared" si="5"/>
        <v>3.839806932</v>
      </c>
      <c r="G34" s="40">
        <f t="shared" si="5"/>
        <v>3.831000383</v>
      </c>
      <c r="H34" s="40">
        <f t="shared" si="5"/>
        <v>3.815588476</v>
      </c>
      <c r="I34" s="40">
        <f t="shared" si="5"/>
        <v>3.828352308</v>
      </c>
      <c r="J34" s="40">
        <f t="shared" si="5"/>
        <v>3.827492</v>
      </c>
      <c r="K34" s="40">
        <f t="shared" si="5"/>
        <v>3.806821344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30" t="s">
        <v>14</v>
      </c>
      <c r="B35" s="13">
        <f t="shared" ref="B35:K35" si="6">(B34-$L32)^2</f>
        <v>0.0009075402833</v>
      </c>
      <c r="C35" s="13">
        <f t="shared" si="6"/>
        <v>0.00008341383973</v>
      </c>
      <c r="D35" s="13">
        <f t="shared" si="6"/>
        <v>0.000124281344</v>
      </c>
      <c r="E35" s="13">
        <f t="shared" si="6"/>
        <v>0.0007593582281</v>
      </c>
      <c r="F35" s="13">
        <f t="shared" si="6"/>
        <v>0.0002473497389</v>
      </c>
      <c r="G35" s="13">
        <f t="shared" si="6"/>
        <v>0.00004789757267</v>
      </c>
      <c r="H35" s="13">
        <f t="shared" si="6"/>
        <v>0.00007209876935</v>
      </c>
      <c r="I35" s="13">
        <f t="shared" si="6"/>
        <v>0.00001825624277</v>
      </c>
      <c r="J35" s="13">
        <f t="shared" si="6"/>
        <v>0.00001164464389</v>
      </c>
      <c r="K35" s="13">
        <f t="shared" si="6"/>
        <v>0.0002978465399</v>
      </c>
      <c r="L35" s="32">
        <f>SQRT(L33)</f>
        <v>0.01689736075</v>
      </c>
      <c r="M35" s="30" t="s">
        <v>16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 t="s">
        <v>44</v>
      </c>
      <c r="M36" s="41">
        <v>3.25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28" t="s">
        <v>20</v>
      </c>
      <c r="B38" s="42" t="s">
        <v>49</v>
      </c>
      <c r="C38" s="29"/>
      <c r="D38" s="28" t="s">
        <v>37</v>
      </c>
      <c r="E38" s="29"/>
      <c r="F38" s="29"/>
      <c r="G38" s="28" t="s">
        <v>50</v>
      </c>
      <c r="H38" s="29"/>
      <c r="I38" s="29"/>
      <c r="J38" s="29"/>
      <c r="K38" s="29"/>
      <c r="L38" s="29"/>
      <c r="M38" s="29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 t="s">
        <v>39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30"/>
      <c r="B40" s="17"/>
      <c r="C40" s="31">
        <v>0.01635</v>
      </c>
      <c r="D40" s="32"/>
      <c r="E40" s="17"/>
      <c r="F40" s="33"/>
      <c r="G40" s="17"/>
      <c r="H40" s="17"/>
      <c r="I40" s="17"/>
      <c r="J40" s="34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 t="s">
        <v>40</v>
      </c>
      <c r="C41" s="17"/>
      <c r="D41" s="17"/>
      <c r="E41" s="17"/>
      <c r="F41" s="17"/>
      <c r="G41" s="17"/>
      <c r="H41" s="17"/>
      <c r="I41" s="17"/>
      <c r="J41" s="17"/>
      <c r="K41" s="17"/>
      <c r="L41" s="35" t="s">
        <v>23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 t="s">
        <v>2</v>
      </c>
      <c r="C42" s="17" t="s">
        <v>3</v>
      </c>
      <c r="D42" s="17" t="s">
        <v>4</v>
      </c>
      <c r="E42" s="17" t="s">
        <v>5</v>
      </c>
      <c r="F42" s="17" t="s">
        <v>6</v>
      </c>
      <c r="G42" s="17" t="s">
        <v>7</v>
      </c>
      <c r="H42" s="17" t="s">
        <v>8</v>
      </c>
      <c r="I42" s="17" t="s">
        <v>9</v>
      </c>
      <c r="J42" s="17" t="s">
        <v>10</v>
      </c>
      <c r="K42" s="17" t="s">
        <v>11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30" t="s">
        <v>41</v>
      </c>
      <c r="B43" s="36">
        <v>999927.0</v>
      </c>
      <c r="C43" s="36">
        <v>999910.0</v>
      </c>
      <c r="D43" s="36">
        <v>999951.0</v>
      </c>
      <c r="E43" s="36">
        <v>999896.0</v>
      </c>
      <c r="F43" s="36">
        <v>999873.0</v>
      </c>
      <c r="G43" s="36">
        <v>999926.0</v>
      </c>
      <c r="H43" s="36">
        <v>999921.0</v>
      </c>
      <c r="I43" s="36">
        <v>999904.0</v>
      </c>
      <c r="J43" s="36">
        <v>999891.0</v>
      </c>
      <c r="K43" s="36">
        <v>999899.0</v>
      </c>
      <c r="L43" s="37">
        <f>AVERAGE(B45:K45)</f>
        <v>3.914669166</v>
      </c>
      <c r="M43" s="38" t="s">
        <v>13</v>
      </c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30" t="s">
        <v>42</v>
      </c>
      <c r="B44" s="39">
        <v>937898.0</v>
      </c>
      <c r="C44" s="39">
        <v>938090.0</v>
      </c>
      <c r="D44" s="39">
        <v>937860.0</v>
      </c>
      <c r="E44" s="39">
        <v>938609.0</v>
      </c>
      <c r="F44" s="39">
        <v>937935.0</v>
      </c>
      <c r="G44" s="39">
        <v>937452.0</v>
      </c>
      <c r="H44" s="39">
        <v>938051.0</v>
      </c>
      <c r="I44" s="39">
        <v>937593.0</v>
      </c>
      <c r="J44" s="39">
        <v>937669.0</v>
      </c>
      <c r="K44" s="39">
        <v>938002.0</v>
      </c>
      <c r="L44" s="32">
        <f>SUM(B46:K46)/(10-1)</f>
        <v>0.0004484732513</v>
      </c>
      <c r="M44" s="30" t="s">
        <v>15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38" t="s">
        <v>43</v>
      </c>
      <c r="B45" s="40">
        <f t="shared" ref="B45:K45" si="7">(-LN(B44/B43))/$C40</f>
        <v>3.916885335</v>
      </c>
      <c r="C45" s="40">
        <f t="shared" si="7"/>
        <v>3.903326098</v>
      </c>
      <c r="D45" s="40">
        <f t="shared" si="7"/>
        <v>3.920831416</v>
      </c>
      <c r="E45" s="40">
        <f t="shared" si="7"/>
        <v>3.868641071</v>
      </c>
      <c r="F45" s="40">
        <f t="shared" si="7"/>
        <v>3.911169461</v>
      </c>
      <c r="G45" s="40">
        <f t="shared" si="7"/>
        <v>3.945915579</v>
      </c>
      <c r="H45" s="40">
        <f t="shared" si="7"/>
        <v>3.906541733</v>
      </c>
      <c r="I45" s="40">
        <f t="shared" si="7"/>
        <v>3.935371342</v>
      </c>
      <c r="J45" s="40">
        <f t="shared" si="7"/>
        <v>3.929618641</v>
      </c>
      <c r="K45" s="40">
        <f t="shared" si="7"/>
        <v>3.90839099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30" t="s">
        <v>14</v>
      </c>
      <c r="B46" s="13">
        <f t="shared" ref="B46:K46" si="8">(B45-$L43)^2</f>
        <v>0.000004911403179</v>
      </c>
      <c r="C46" s="13">
        <f t="shared" si="8"/>
        <v>0.0001286652043</v>
      </c>
      <c r="D46" s="13">
        <f t="shared" si="8"/>
        <v>0.00003797331494</v>
      </c>
      <c r="E46" s="13">
        <f t="shared" si="8"/>
        <v>0.002118585578</v>
      </c>
      <c r="F46" s="13">
        <f t="shared" si="8"/>
        <v>0.00001224793861</v>
      </c>
      <c r="G46" s="13">
        <f t="shared" si="8"/>
        <v>0.0009763382702</v>
      </c>
      <c r="H46" s="13">
        <f t="shared" si="8"/>
        <v>0.00006605517848</v>
      </c>
      <c r="I46" s="13">
        <f t="shared" si="8"/>
        <v>0.0004285800901</v>
      </c>
      <c r="J46" s="13">
        <f t="shared" si="8"/>
        <v>0.0002234867803</v>
      </c>
      <c r="K46" s="13">
        <f t="shared" si="8"/>
        <v>0.00003941550411</v>
      </c>
      <c r="L46" s="32">
        <f>SQRT(L44)</f>
        <v>0.02117718705</v>
      </c>
      <c r="M46" s="30" t="s">
        <v>16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 t="s">
        <v>44</v>
      </c>
      <c r="M47" s="41">
        <v>3.25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28" t="s">
        <v>20</v>
      </c>
      <c r="B50" s="42" t="s">
        <v>51</v>
      </c>
      <c r="C50" s="29"/>
      <c r="D50" s="28" t="s">
        <v>37</v>
      </c>
      <c r="E50" s="29"/>
      <c r="F50" s="29"/>
      <c r="G50" s="28" t="s">
        <v>52</v>
      </c>
      <c r="H50" s="29"/>
      <c r="I50" s="29"/>
      <c r="J50" s="29"/>
      <c r="K50" s="29"/>
      <c r="L50" s="29"/>
      <c r="M50" s="29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 t="s">
        <v>39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30"/>
      <c r="B52" s="17"/>
      <c r="C52" s="31">
        <v>0.01635</v>
      </c>
      <c r="D52" s="32"/>
      <c r="E52" s="17"/>
      <c r="F52" s="33"/>
      <c r="G52" s="17"/>
      <c r="H52" s="17"/>
      <c r="I52" s="17"/>
      <c r="J52" s="34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 t="s">
        <v>40</v>
      </c>
      <c r="C53" s="17"/>
      <c r="D53" s="17"/>
      <c r="E53" s="17"/>
      <c r="F53" s="17"/>
      <c r="G53" s="17"/>
      <c r="H53" s="17"/>
      <c r="I53" s="17"/>
      <c r="J53" s="17"/>
      <c r="K53" s="17"/>
      <c r="L53" s="35" t="s">
        <v>23</v>
      </c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 t="s">
        <v>2</v>
      </c>
      <c r="C54" s="17" t="s">
        <v>3</v>
      </c>
      <c r="D54" s="17" t="s">
        <v>4</v>
      </c>
      <c r="E54" s="17" t="s">
        <v>5</v>
      </c>
      <c r="F54" s="17" t="s">
        <v>6</v>
      </c>
      <c r="G54" s="17" t="s">
        <v>7</v>
      </c>
      <c r="H54" s="17" t="s">
        <v>8</v>
      </c>
      <c r="I54" s="17" t="s">
        <v>9</v>
      </c>
      <c r="J54" s="17" t="s">
        <v>10</v>
      </c>
      <c r="K54" s="17" t="s">
        <v>11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30" t="s">
        <v>41</v>
      </c>
      <c r="B55" s="36">
        <v>999927.0</v>
      </c>
      <c r="C55" s="36">
        <v>999910.0</v>
      </c>
      <c r="D55" s="36">
        <v>999951.0</v>
      </c>
      <c r="E55" s="36">
        <v>999896.0</v>
      </c>
      <c r="F55" s="36">
        <v>999873.0</v>
      </c>
      <c r="G55" s="36">
        <v>999926.0</v>
      </c>
      <c r="H55" s="36">
        <v>999921.0</v>
      </c>
      <c r="I55" s="36">
        <v>999904.0</v>
      </c>
      <c r="J55" s="36">
        <v>999891.0</v>
      </c>
      <c r="K55" s="36">
        <v>999899.0</v>
      </c>
      <c r="L55" s="37">
        <f>AVERAGE(B57:K57)</f>
        <v>4.016794293</v>
      </c>
      <c r="M55" s="38" t="s">
        <v>13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30" t="s">
        <v>42</v>
      </c>
      <c r="B56" s="39">
        <v>936086.0</v>
      </c>
      <c r="C56" s="39">
        <v>936046.0</v>
      </c>
      <c r="D56" s="39">
        <v>936495.0</v>
      </c>
      <c r="E56" s="39">
        <v>936501.0</v>
      </c>
      <c r="F56" s="39">
        <v>936154.0</v>
      </c>
      <c r="G56" s="39">
        <v>936582.0</v>
      </c>
      <c r="H56" s="39">
        <v>936368.0</v>
      </c>
      <c r="I56" s="39">
        <v>936634.0</v>
      </c>
      <c r="J56" s="39">
        <v>936153.0</v>
      </c>
      <c r="K56" s="39">
        <v>936492.0</v>
      </c>
      <c r="L56" s="32">
        <f>SUM(B58:K58)/(10-1)</f>
        <v>0.0001997980454</v>
      </c>
      <c r="M56" s="30" t="s">
        <v>15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38" t="s">
        <v>43</v>
      </c>
      <c r="B57" s="40">
        <f t="shared" ref="B57:K57" si="9">(-LN(B56/B55))/$C52</f>
        <v>4.03516353</v>
      </c>
      <c r="C57" s="40">
        <f t="shared" si="9"/>
        <v>4.03673727</v>
      </c>
      <c r="D57" s="40">
        <f t="shared" si="9"/>
        <v>4.009914064</v>
      </c>
      <c r="E57" s="40">
        <f t="shared" si="9"/>
        <v>4.006158036</v>
      </c>
      <c r="F57" s="40">
        <f t="shared" si="9"/>
        <v>4.027417618</v>
      </c>
      <c r="G57" s="40">
        <f t="shared" si="9"/>
        <v>4.002703249</v>
      </c>
      <c r="H57" s="40">
        <f t="shared" si="9"/>
        <v>4.016373961</v>
      </c>
      <c r="I57" s="40">
        <f t="shared" si="9"/>
        <v>3.997961882</v>
      </c>
      <c r="J57" s="40">
        <f t="shared" si="9"/>
        <v>4.028583999</v>
      </c>
      <c r="K57" s="40">
        <f t="shared" si="9"/>
        <v>4.006929326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30" t="s">
        <v>14</v>
      </c>
      <c r="B58" s="13">
        <f t="shared" ref="B58:K58" si="10">(B57-$L55)^2</f>
        <v>0.0003374288582</v>
      </c>
      <c r="C58" s="13">
        <f t="shared" si="10"/>
        <v>0.0003977223087</v>
      </c>
      <c r="D58" s="13">
        <f t="shared" si="10"/>
        <v>0.0000473375629</v>
      </c>
      <c r="E58" s="13">
        <f t="shared" si="10"/>
        <v>0.0001131299782</v>
      </c>
      <c r="F58" s="13">
        <f t="shared" si="10"/>
        <v>0.0001128550295</v>
      </c>
      <c r="G58" s="13">
        <f t="shared" si="10"/>
        <v>0.0001985575207</v>
      </c>
      <c r="H58" s="13">
        <f t="shared" si="10"/>
        <v>0.0000001766795651</v>
      </c>
      <c r="I58" s="13">
        <f t="shared" si="10"/>
        <v>0.0003546597298</v>
      </c>
      <c r="J58" s="13">
        <f t="shared" si="10"/>
        <v>0.0001389971564</v>
      </c>
      <c r="K58" s="13">
        <f t="shared" si="10"/>
        <v>0.00009731758455</v>
      </c>
      <c r="L58" s="32">
        <f>SQRT(L56)</f>
        <v>0.01413499365</v>
      </c>
      <c r="M58" s="30" t="s">
        <v>16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 t="s">
        <v>44</v>
      </c>
      <c r="M59" s="41">
        <v>3.25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28" t="s">
        <v>20</v>
      </c>
      <c r="B62" s="42" t="s">
        <v>53</v>
      </c>
      <c r="C62" s="29"/>
      <c r="D62" s="28" t="s">
        <v>37</v>
      </c>
      <c r="E62" s="29"/>
      <c r="F62" s="29"/>
      <c r="G62" s="28" t="s">
        <v>54</v>
      </c>
      <c r="H62" s="29"/>
      <c r="I62" s="29"/>
      <c r="J62" s="29"/>
      <c r="K62" s="29"/>
      <c r="L62" s="29"/>
      <c r="M62" s="29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 t="s">
        <v>39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30"/>
      <c r="B64" s="17"/>
      <c r="C64" s="31">
        <v>0.01635</v>
      </c>
      <c r="D64" s="32"/>
      <c r="E64" s="17"/>
      <c r="F64" s="33"/>
      <c r="G64" s="17"/>
      <c r="H64" s="17"/>
      <c r="I64" s="17"/>
      <c r="J64" s="34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 t="s">
        <v>40</v>
      </c>
      <c r="C65" s="17"/>
      <c r="D65" s="17"/>
      <c r="E65" s="17"/>
      <c r="F65" s="17"/>
      <c r="G65" s="17"/>
      <c r="H65" s="17"/>
      <c r="I65" s="17"/>
      <c r="J65" s="17"/>
      <c r="K65" s="17"/>
      <c r="L65" s="35" t="s">
        <v>23</v>
      </c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 t="s">
        <v>2</v>
      </c>
      <c r="C66" s="17" t="s">
        <v>3</v>
      </c>
      <c r="D66" s="17" t="s">
        <v>4</v>
      </c>
      <c r="E66" s="17" t="s">
        <v>5</v>
      </c>
      <c r="F66" s="17" t="s">
        <v>6</v>
      </c>
      <c r="G66" s="17" t="s">
        <v>7</v>
      </c>
      <c r="H66" s="17" t="s">
        <v>8</v>
      </c>
      <c r="I66" s="17" t="s">
        <v>9</v>
      </c>
      <c r="J66" s="17" t="s">
        <v>10</v>
      </c>
      <c r="K66" s="17" t="s">
        <v>11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30" t="s">
        <v>41</v>
      </c>
      <c r="B67" s="36">
        <v>999927.0</v>
      </c>
      <c r="C67" s="36">
        <v>999910.0</v>
      </c>
      <c r="D67" s="36">
        <v>999951.0</v>
      </c>
      <c r="E67" s="36">
        <v>999896.0</v>
      </c>
      <c r="F67" s="36">
        <v>999873.0</v>
      </c>
      <c r="G67" s="36">
        <v>999926.0</v>
      </c>
      <c r="H67" s="36">
        <v>999921.0</v>
      </c>
      <c r="I67" s="36">
        <v>999904.0</v>
      </c>
      <c r="J67" s="36">
        <v>999891.0</v>
      </c>
      <c r="K67" s="36">
        <v>999899.0</v>
      </c>
      <c r="L67" s="37">
        <f>AVERAGE(B69:K69)</f>
        <v>4.111509375</v>
      </c>
      <c r="M67" s="38" t="s">
        <v>13</v>
      </c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30" t="s">
        <v>42</v>
      </c>
      <c r="B68" s="39">
        <v>934979.0</v>
      </c>
      <c r="C68" s="39">
        <v>935051.0</v>
      </c>
      <c r="D68" s="39">
        <v>934938.0</v>
      </c>
      <c r="E68" s="39">
        <v>934691.0</v>
      </c>
      <c r="F68" s="39">
        <v>934676.0</v>
      </c>
      <c r="G68" s="39">
        <v>935136.0</v>
      </c>
      <c r="H68" s="39">
        <v>935110.0</v>
      </c>
      <c r="I68" s="39">
        <v>934833.0</v>
      </c>
      <c r="J68" s="43">
        <v>935158.0</v>
      </c>
      <c r="K68" s="39">
        <v>934450.0</v>
      </c>
      <c r="L68" s="32">
        <f>SUM(B70:K70)/(10-1)</f>
        <v>0.0002201586593</v>
      </c>
      <c r="M68" s="30" t="s">
        <v>15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38" t="s">
        <v>43</v>
      </c>
      <c r="B69" s="40">
        <f t="shared" ref="B69:K69" si="11">(-LN(B68/B67))/$C64</f>
        <v>4.107535607</v>
      </c>
      <c r="C69" s="40">
        <f t="shared" si="11"/>
        <v>4.101786035</v>
      </c>
      <c r="D69" s="40">
        <f t="shared" si="11"/>
        <v>4.111685679</v>
      </c>
      <c r="E69" s="40">
        <f t="shared" si="11"/>
        <v>4.124481969</v>
      </c>
      <c r="F69" s="40">
        <f t="shared" si="11"/>
        <v>4.124056621</v>
      </c>
      <c r="G69" s="40">
        <f t="shared" si="11"/>
        <v>4.097205076</v>
      </c>
      <c r="H69" s="40">
        <f t="shared" si="11"/>
        <v>4.098599782</v>
      </c>
      <c r="I69" s="40">
        <f t="shared" si="11"/>
        <v>4.115680163</v>
      </c>
      <c r="J69" s="40">
        <f t="shared" si="11"/>
        <v>4.093625325</v>
      </c>
      <c r="K69" s="40">
        <f t="shared" si="11"/>
        <v>4.14043749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30" t="s">
        <v>14</v>
      </c>
      <c r="B70" s="13">
        <f t="shared" ref="B70:K70" si="12">(B69-$L67)^2</f>
        <v>0.00001579082967</v>
      </c>
      <c r="C70" s="13">
        <f t="shared" si="12"/>
        <v>0.00009454332963</v>
      </c>
      <c r="D70" s="13">
        <f t="shared" si="12"/>
        <v>0.00000003108322328</v>
      </c>
      <c r="E70" s="13">
        <f t="shared" si="12"/>
        <v>0.0001682881978</v>
      </c>
      <c r="F70" s="13">
        <f t="shared" si="12"/>
        <v>0.0001574333788</v>
      </c>
      <c r="G70" s="13">
        <f t="shared" si="12"/>
        <v>0.0002046129696</v>
      </c>
      <c r="H70" s="13">
        <f t="shared" si="12"/>
        <v>0.0001666575859</v>
      </c>
      <c r="I70" s="13">
        <f t="shared" si="12"/>
        <v>0.00001739547446</v>
      </c>
      <c r="J70" s="13">
        <f t="shared" si="12"/>
        <v>0.0003198392157</v>
      </c>
      <c r="K70" s="13">
        <f t="shared" si="12"/>
        <v>0.0008368358689</v>
      </c>
      <c r="L70" s="32">
        <f>SQRT(L68)</f>
        <v>0.01483774441</v>
      </c>
      <c r="M70" s="30" t="s">
        <v>16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 t="s">
        <v>44</v>
      </c>
      <c r="M71" s="41">
        <v>3.25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28" t="s">
        <v>20</v>
      </c>
      <c r="B74" s="42" t="s">
        <v>55</v>
      </c>
      <c r="C74" s="29"/>
      <c r="D74" s="28" t="s">
        <v>37</v>
      </c>
      <c r="E74" s="29"/>
      <c r="F74" s="29"/>
      <c r="G74" s="28" t="s">
        <v>56</v>
      </c>
      <c r="H74" s="29"/>
      <c r="I74" s="29"/>
      <c r="J74" s="29"/>
      <c r="K74" s="29"/>
      <c r="L74" s="29"/>
      <c r="M74" s="29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 t="s">
        <v>39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30"/>
      <c r="B76" s="17"/>
      <c r="C76" s="31">
        <v>0.01635</v>
      </c>
      <c r="D76" s="32"/>
      <c r="E76" s="17"/>
      <c r="F76" s="33"/>
      <c r="G76" s="17"/>
      <c r="H76" s="17"/>
      <c r="I76" s="17"/>
      <c r="J76" s="34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 t="s">
        <v>40</v>
      </c>
      <c r="C77" s="17"/>
      <c r="D77" s="17"/>
      <c r="E77" s="17"/>
      <c r="F77" s="17"/>
      <c r="G77" s="17"/>
      <c r="H77" s="17"/>
      <c r="I77" s="17"/>
      <c r="J77" s="17"/>
      <c r="K77" s="17"/>
      <c r="L77" s="35" t="s">
        <v>23</v>
      </c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 t="s">
        <v>2</v>
      </c>
      <c r="C78" s="17" t="s">
        <v>3</v>
      </c>
      <c r="D78" s="17" t="s">
        <v>4</v>
      </c>
      <c r="E78" s="17" t="s">
        <v>5</v>
      </c>
      <c r="F78" s="17" t="s">
        <v>6</v>
      </c>
      <c r="G78" s="17" t="s">
        <v>7</v>
      </c>
      <c r="H78" s="17" t="s">
        <v>8</v>
      </c>
      <c r="I78" s="17" t="s">
        <v>9</v>
      </c>
      <c r="J78" s="17" t="s">
        <v>10</v>
      </c>
      <c r="K78" s="17" t="s">
        <v>11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30" t="s">
        <v>41</v>
      </c>
      <c r="B79" s="36">
        <v>999927.0</v>
      </c>
      <c r="C79" s="36">
        <v>999910.0</v>
      </c>
      <c r="D79" s="36">
        <v>999951.0</v>
      </c>
      <c r="E79" s="36">
        <v>999896.0</v>
      </c>
      <c r="F79" s="36">
        <v>999873.0</v>
      </c>
      <c r="G79" s="36">
        <v>999926.0</v>
      </c>
      <c r="H79" s="36">
        <v>999921.0</v>
      </c>
      <c r="I79" s="36">
        <v>999904.0</v>
      </c>
      <c r="J79" s="36">
        <v>999891.0</v>
      </c>
      <c r="K79" s="36">
        <v>999899.0</v>
      </c>
      <c r="L79" s="37">
        <f>AVERAGE(B81:K81)</f>
        <v>4.204274401</v>
      </c>
      <c r="M79" s="38" t="s">
        <v>13</v>
      </c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30" t="s">
        <v>42</v>
      </c>
      <c r="B80" s="39">
        <v>933554.0</v>
      </c>
      <c r="C80" s="39">
        <v>933141.0</v>
      </c>
      <c r="D80" s="39">
        <v>933350.0</v>
      </c>
      <c r="E80" s="39">
        <v>933343.0</v>
      </c>
      <c r="F80" s="39">
        <v>933199.0</v>
      </c>
      <c r="G80" s="39">
        <v>933435.0</v>
      </c>
      <c r="H80" s="39">
        <v>933730.0</v>
      </c>
      <c r="I80" s="39">
        <v>933728.0</v>
      </c>
      <c r="J80" s="39">
        <v>933560.0</v>
      </c>
      <c r="K80" s="39">
        <v>933813.0</v>
      </c>
      <c r="L80" s="32">
        <f>SUM(B82:K82)/(10-1)</f>
        <v>0.000226655367</v>
      </c>
      <c r="M80" s="30" t="s">
        <v>15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38" t="s">
        <v>43</v>
      </c>
      <c r="B81" s="40">
        <f t="shared" ref="B81:K81" si="13">(-LN(B80/B79))/$C76</f>
        <v>4.200823743</v>
      </c>
      <c r="C81" s="40">
        <f t="shared" si="13"/>
        <v>4.226847713</v>
      </c>
      <c r="D81" s="40">
        <f t="shared" si="13"/>
        <v>4.215658306</v>
      </c>
      <c r="E81" s="40">
        <f t="shared" si="13"/>
        <v>4.212752843</v>
      </c>
      <c r="F81" s="40">
        <f t="shared" si="13"/>
        <v>4.220783018</v>
      </c>
      <c r="G81" s="40">
        <f t="shared" si="13"/>
        <v>4.208559395</v>
      </c>
      <c r="H81" s="40">
        <f t="shared" si="13"/>
        <v>4.188927135</v>
      </c>
      <c r="I81" s="40">
        <f t="shared" si="13"/>
        <v>4.188018294</v>
      </c>
      <c r="J81" s="40">
        <f t="shared" si="13"/>
        <v>4.198228617</v>
      </c>
      <c r="K81" s="40">
        <f t="shared" si="13"/>
        <v>4.182144944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30" t="s">
        <v>14</v>
      </c>
      <c r="B82" s="13">
        <f t="shared" ref="B82:K82" si="14">(B81-$L79)^2</f>
        <v>0.00001190704051</v>
      </c>
      <c r="C82" s="13">
        <f t="shared" si="14"/>
        <v>0.0005095544035</v>
      </c>
      <c r="D82" s="13">
        <f t="shared" si="14"/>
        <v>0.0001295932965</v>
      </c>
      <c r="E82" s="13">
        <f t="shared" si="14"/>
        <v>0.00007188398799</v>
      </c>
      <c r="F82" s="13">
        <f t="shared" si="14"/>
        <v>0.0002725344559</v>
      </c>
      <c r="G82" s="13">
        <f t="shared" si="14"/>
        <v>0.0000183611757</v>
      </c>
      <c r="H82" s="13">
        <f t="shared" si="14"/>
        <v>0.0002355385764</v>
      </c>
      <c r="I82" s="13">
        <f t="shared" si="14"/>
        <v>0.0002642609941</v>
      </c>
      <c r="J82" s="13">
        <f t="shared" si="14"/>
        <v>0.00003655150207</v>
      </c>
      <c r="K82" s="13">
        <f t="shared" si="14"/>
        <v>0.00048971287</v>
      </c>
      <c r="L82" s="32">
        <f>SQRT(L80)</f>
        <v>0.01505507778</v>
      </c>
      <c r="M82" s="30" t="s">
        <v>16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 t="s">
        <v>44</v>
      </c>
      <c r="M83" s="41">
        <v>3.25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</sheetData>
  <drawing r:id="rId1"/>
</worksheet>
</file>